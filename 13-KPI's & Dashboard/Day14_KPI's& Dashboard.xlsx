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chand\OneDrive\Desktop\excel\Github uploads of Exl\"/>
    </mc:Choice>
  </mc:AlternateContent>
  <xr:revisionPtr revIDLastSave="0" documentId="13_ncr:1_{F3627756-E759-4005-ABD7-BD86A63E22AC}" xr6:coauthVersionLast="47" xr6:coauthVersionMax="47" xr10:uidLastSave="{00000000-0000-0000-0000-000000000000}"/>
  <bookViews>
    <workbookView xWindow="-108" yWindow="-108" windowWidth="23256" windowHeight="12456" activeTab="3" xr2:uid="{E290076F-8C45-48EB-AC26-4E0008099E0C}"/>
  </bookViews>
  <sheets>
    <sheet name="Dashboard" sheetId="4" r:id="rId1"/>
    <sheet name="Sales_Data" sheetId="1" r:id="rId2"/>
    <sheet name="KPI's" sheetId="2" r:id="rId3"/>
    <sheet name="Pivot" sheetId="3" r:id="rId4"/>
  </sheets>
  <definedNames>
    <definedName name="_xlcn.WorksheetConnection_Book1Sales_Data1" hidden="1">Sales_Data[]</definedName>
    <definedName name="Slicer_Category">#N/A</definedName>
    <definedName name="Slicer_Product">#N/A</definedName>
    <definedName name="Slicer_Region">#N/A</definedName>
    <definedName name="Timeline_Order_Date">#N/A</definedName>
  </definedNames>
  <calcPr calcId="191029"/>
  <pivotCaches>
    <pivotCache cacheId="403" r:id="rId5"/>
    <pivotCache cacheId="406" r:id="rId6"/>
    <pivotCache cacheId="409" r:id="rId7"/>
    <pivotCache cacheId="412" r:id="rId8"/>
    <pivotCache cacheId="415" r:id="rId9"/>
  </pivotCaches>
  <extLst>
    <ext xmlns:x14="http://schemas.microsoft.com/office/spreadsheetml/2009/9/main" uri="{876F7934-8845-4945-9796-88D515C7AA90}">
      <x14:pivotCaches>
        <pivotCache cacheId="114"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20"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Book1!Sales_Data"/>
        </x15:modelTables>
      </x15:dataModel>
    </ext>
  </extLst>
</workbook>
</file>

<file path=xl/calcChain.xml><?xml version="1.0" encoding="utf-8"?>
<calcChain xmlns="http://schemas.openxmlformats.org/spreadsheetml/2006/main">
  <c r="B5" i="2" l="1"/>
  <c r="K9" i="1"/>
  <c r="L9" i="1" s="1"/>
  <c r="K17" i="1"/>
  <c r="L17" i="1" s="1"/>
  <c r="K25" i="1"/>
  <c r="L25" i="1" s="1"/>
  <c r="K33" i="1"/>
  <c r="L33" i="1" s="1"/>
  <c r="K38" i="1"/>
  <c r="L38" i="1" s="1"/>
  <c r="K41" i="1"/>
  <c r="L41" i="1" s="1"/>
  <c r="K44" i="1"/>
  <c r="L44" i="1" s="1"/>
  <c r="K45" i="1"/>
  <c r="L45" i="1" s="1"/>
  <c r="K48" i="1"/>
  <c r="L48" i="1" s="1"/>
  <c r="K49" i="1"/>
  <c r="L49" i="1" s="1"/>
  <c r="K52" i="1"/>
  <c r="L52" i="1" s="1"/>
  <c r="K53" i="1"/>
  <c r="L53" i="1" s="1"/>
  <c r="K56" i="1"/>
  <c r="L56" i="1" s="1"/>
  <c r="K57" i="1"/>
  <c r="L57" i="1" s="1"/>
  <c r="K60" i="1"/>
  <c r="L60" i="1" s="1"/>
  <c r="K61" i="1"/>
  <c r="L61" i="1" s="1"/>
  <c r="K64" i="1"/>
  <c r="L64" i="1" s="1"/>
  <c r="K65" i="1"/>
  <c r="L65" i="1" s="1"/>
  <c r="K68" i="1"/>
  <c r="L68" i="1" s="1"/>
  <c r="K69" i="1"/>
  <c r="L69" i="1" s="1"/>
  <c r="K72" i="1"/>
  <c r="L72" i="1" s="1"/>
  <c r="K73" i="1"/>
  <c r="L73" i="1" s="1"/>
  <c r="K76" i="1"/>
  <c r="L76" i="1" s="1"/>
  <c r="K77" i="1"/>
  <c r="L77" i="1" s="1"/>
  <c r="K80" i="1"/>
  <c r="L80" i="1" s="1"/>
  <c r="K81" i="1"/>
  <c r="L81" i="1" s="1"/>
  <c r="K84" i="1"/>
  <c r="L84" i="1" s="1"/>
  <c r="K85" i="1"/>
  <c r="K88" i="1"/>
  <c r="L88" i="1" s="1"/>
  <c r="K89" i="1"/>
  <c r="K92" i="1"/>
  <c r="K93" i="1"/>
  <c r="K96" i="1"/>
  <c r="K97" i="1"/>
  <c r="K100" i="1"/>
  <c r="K101" i="1"/>
  <c r="K6" i="1"/>
  <c r="L6" i="1" s="1"/>
  <c r="K8" i="1"/>
  <c r="L8" i="1" s="1"/>
  <c r="K10" i="1"/>
  <c r="L10" i="1" s="1"/>
  <c r="K12" i="1"/>
  <c r="L12" i="1" s="1"/>
  <c r="K14" i="1"/>
  <c r="L14" i="1" s="1"/>
  <c r="K16" i="1"/>
  <c r="L16" i="1" s="1"/>
  <c r="K18" i="1"/>
  <c r="L18" i="1" s="1"/>
  <c r="K20" i="1"/>
  <c r="L20" i="1" s="1"/>
  <c r="K22" i="1"/>
  <c r="L22" i="1" s="1"/>
  <c r="K24" i="1"/>
  <c r="L24" i="1" s="1"/>
  <c r="K26" i="1"/>
  <c r="L26" i="1" s="1"/>
  <c r="K28" i="1"/>
  <c r="L28" i="1" s="1"/>
  <c r="K30" i="1"/>
  <c r="L30" i="1" s="1"/>
  <c r="K32" i="1"/>
  <c r="L32" i="1" s="1"/>
  <c r="K34" i="1"/>
  <c r="L34" i="1" s="1"/>
  <c r="K36" i="1"/>
  <c r="L36" i="1" s="1"/>
  <c r="K40" i="1"/>
  <c r="L40" i="1" s="1"/>
  <c r="B1" i="2"/>
  <c r="B7" i="2" s="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K5" i="1"/>
  <c r="L5" i="1" s="1"/>
  <c r="K7" i="1"/>
  <c r="L7" i="1" s="1"/>
  <c r="K11" i="1"/>
  <c r="L11" i="1" s="1"/>
  <c r="K13" i="1"/>
  <c r="L13" i="1" s="1"/>
  <c r="K15" i="1"/>
  <c r="L15" i="1" s="1"/>
  <c r="K19" i="1"/>
  <c r="L19" i="1" s="1"/>
  <c r="K21" i="1"/>
  <c r="L21" i="1" s="1"/>
  <c r="K23" i="1"/>
  <c r="L23" i="1" s="1"/>
  <c r="K27" i="1"/>
  <c r="L27" i="1" s="1"/>
  <c r="K29" i="1"/>
  <c r="L29" i="1" s="1"/>
  <c r="K31" i="1"/>
  <c r="L31" i="1" s="1"/>
  <c r="K35" i="1"/>
  <c r="L35" i="1" s="1"/>
  <c r="K37" i="1"/>
  <c r="L37" i="1" s="1"/>
  <c r="K39" i="1"/>
  <c r="L39" i="1" s="1"/>
  <c r="K42" i="1"/>
  <c r="K43" i="1"/>
  <c r="L43" i="1" s="1"/>
  <c r="K46" i="1"/>
  <c r="K47" i="1"/>
  <c r="L47" i="1" s="1"/>
  <c r="K50" i="1"/>
  <c r="K51" i="1"/>
  <c r="L51" i="1" s="1"/>
  <c r="K54" i="1"/>
  <c r="K55" i="1"/>
  <c r="L55" i="1" s="1"/>
  <c r="K58" i="1"/>
  <c r="K59" i="1"/>
  <c r="L59" i="1" s="1"/>
  <c r="K62" i="1"/>
  <c r="K63" i="1"/>
  <c r="L63" i="1" s="1"/>
  <c r="K66" i="1"/>
  <c r="K67" i="1"/>
  <c r="L67" i="1" s="1"/>
  <c r="K70" i="1"/>
  <c r="K71" i="1"/>
  <c r="L71" i="1" s="1"/>
  <c r="K74" i="1"/>
  <c r="K75" i="1"/>
  <c r="L75" i="1" s="1"/>
  <c r="K78" i="1"/>
  <c r="K79" i="1"/>
  <c r="L79" i="1" s="1"/>
  <c r="K82" i="1"/>
  <c r="K83" i="1"/>
  <c r="L83" i="1" s="1"/>
  <c r="K86" i="1"/>
  <c r="K87" i="1"/>
  <c r="L87" i="1" s="1"/>
  <c r="K90" i="1"/>
  <c r="K91" i="1"/>
  <c r="K94" i="1"/>
  <c r="K95" i="1"/>
  <c r="K98" i="1"/>
  <c r="K99" i="1"/>
  <c r="K3" i="1"/>
  <c r="L3" i="1" s="1"/>
  <c r="K4" i="1"/>
  <c r="L4" i="1" s="1"/>
  <c r="C3" i="1"/>
  <c r="C4" i="1"/>
  <c r="C6" i="1"/>
  <c r="C7" i="1"/>
  <c r="C8" i="1"/>
  <c r="C10" i="1"/>
  <c r="C11" i="1"/>
  <c r="C12" i="1"/>
  <c r="C14" i="1"/>
  <c r="C15" i="1"/>
  <c r="C16" i="1"/>
  <c r="C18" i="1"/>
  <c r="C19" i="1"/>
  <c r="C20" i="1"/>
  <c r="C22" i="1"/>
  <c r="C23" i="1"/>
  <c r="C24" i="1"/>
  <c r="C26" i="1"/>
  <c r="C27" i="1"/>
  <c r="C28" i="1"/>
  <c r="C30" i="1"/>
  <c r="C31" i="1"/>
  <c r="C32" i="1"/>
  <c r="C34" i="1"/>
  <c r="C35" i="1"/>
  <c r="C36" i="1"/>
  <c r="C38" i="1"/>
  <c r="C39" i="1"/>
  <c r="C40" i="1"/>
  <c r="C42" i="1"/>
  <c r="C43" i="1"/>
  <c r="C44" i="1"/>
  <c r="C46" i="1"/>
  <c r="C47" i="1"/>
  <c r="C48" i="1"/>
  <c r="C50" i="1"/>
  <c r="C51" i="1"/>
  <c r="C52" i="1"/>
  <c r="C54" i="1"/>
  <c r="C55" i="1"/>
  <c r="C56" i="1"/>
  <c r="C58" i="1"/>
  <c r="C59" i="1"/>
  <c r="C60" i="1"/>
  <c r="C62" i="1"/>
  <c r="C63" i="1"/>
  <c r="C64" i="1"/>
  <c r="C66" i="1"/>
  <c r="C67" i="1"/>
  <c r="C68" i="1"/>
  <c r="C70" i="1"/>
  <c r="C71" i="1"/>
  <c r="C72" i="1"/>
  <c r="C74" i="1"/>
  <c r="C75" i="1"/>
  <c r="C76" i="1"/>
  <c r="C78" i="1"/>
  <c r="C79" i="1"/>
  <c r="C80" i="1"/>
  <c r="C82" i="1"/>
  <c r="C83" i="1"/>
  <c r="C84" i="1"/>
  <c r="C86" i="1"/>
  <c r="C87" i="1"/>
  <c r="C88" i="1"/>
  <c r="C90" i="1"/>
  <c r="C91" i="1"/>
  <c r="C92" i="1"/>
  <c r="C94" i="1"/>
  <c r="C95" i="1"/>
  <c r="C96" i="1"/>
  <c r="C98" i="1"/>
  <c r="C99" i="1"/>
  <c r="C100" i="1"/>
  <c r="C2" i="1"/>
  <c r="B11" i="2"/>
  <c r="B14" i="2"/>
  <c r="B12" i="2"/>
  <c r="B13" i="2"/>
  <c r="B4" i="2" l="1"/>
  <c r="B6" i="2"/>
  <c r="K2" i="1"/>
  <c r="L2" i="1" s="1"/>
  <c r="L101" i="1"/>
  <c r="L100" i="1"/>
  <c r="L99" i="1"/>
  <c r="L98" i="1"/>
  <c r="L97" i="1"/>
  <c r="L96" i="1"/>
  <c r="L95" i="1"/>
  <c r="L94" i="1"/>
  <c r="L93" i="1"/>
  <c r="L92" i="1"/>
  <c r="L91" i="1"/>
  <c r="L90" i="1"/>
  <c r="L89" i="1"/>
  <c r="L85" i="1"/>
  <c r="L86" i="1"/>
  <c r="L82" i="1"/>
  <c r="L78" i="1"/>
  <c r="L74" i="1"/>
  <c r="L70" i="1"/>
  <c r="L66" i="1"/>
  <c r="L62" i="1"/>
  <c r="L58" i="1"/>
  <c r="L54" i="1"/>
  <c r="L50" i="1"/>
  <c r="L46" i="1"/>
  <c r="L42" i="1"/>
  <c r="C101" i="1"/>
  <c r="C97" i="1"/>
  <c r="C93" i="1"/>
  <c r="C89" i="1"/>
  <c r="C85" i="1"/>
  <c r="C81" i="1"/>
  <c r="C77" i="1"/>
  <c r="C73" i="1"/>
  <c r="C69" i="1"/>
  <c r="C65" i="1"/>
  <c r="C61" i="1"/>
  <c r="C57" i="1"/>
  <c r="C53" i="1"/>
  <c r="C49" i="1"/>
  <c r="C45" i="1"/>
  <c r="C41" i="1"/>
  <c r="C37" i="1"/>
  <c r="C33" i="1"/>
  <c r="C29" i="1"/>
  <c r="C25" i="1"/>
  <c r="C21" i="1"/>
  <c r="C17" i="1"/>
  <c r="C13" i="1"/>
  <c r="C9" i="1"/>
  <c r="C5" i="1"/>
  <c r="B2" i="2" l="1"/>
  <c r="B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1A39D0-EF70-45D5-ADF3-99EF332D55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568CC16-87D2-4AF7-9520-BB5A7BD47BB0}" name="WorksheetConnection_Book1!Sales_Data" type="102" refreshedVersion="8" minRefreshableVersion="5">
    <extLst>
      <ext xmlns:x15="http://schemas.microsoft.com/office/spreadsheetml/2010/11/main" uri="{DE250136-89BD-433C-8126-D09CA5730AF9}">
        <x15:connection id="Sales_Data" autoDelete="1">
          <x15:rangePr sourceName="_xlcn.WorksheetConnection_Book1Sales_Data1"/>
        </x15:connection>
      </ext>
    </extLst>
  </connection>
</connections>
</file>

<file path=xl/sharedStrings.xml><?xml version="1.0" encoding="utf-8"?>
<sst xmlns="http://schemas.openxmlformats.org/spreadsheetml/2006/main" count="571" uniqueCount="155">
  <si>
    <t xml:space="preserve"> Order_ID </t>
  </si>
  <si>
    <t xml:space="preserve"> Order_Date </t>
  </si>
  <si>
    <t xml:space="preserve"> Year </t>
  </si>
  <si>
    <t xml:space="preserve"> Month </t>
  </si>
  <si>
    <t xml:space="preserve"> Region </t>
  </si>
  <si>
    <t xml:space="preserve"> Sales_Rep </t>
  </si>
  <si>
    <t xml:space="preserve"> Segment </t>
  </si>
  <si>
    <t xml:space="preserve"> Category </t>
  </si>
  <si>
    <t xml:space="preserve"> Product </t>
  </si>
  <si>
    <t xml:space="preserve"> Sales </t>
  </si>
  <si>
    <t xml:space="preserve"> Cost </t>
  </si>
  <si>
    <t xml:space="preserve"> Profit </t>
  </si>
  <si>
    <t xml:space="preserve"> Units </t>
  </si>
  <si>
    <t>North</t>
  </si>
  <si>
    <t>South</t>
  </si>
  <si>
    <t>East</t>
  </si>
  <si>
    <t>West</t>
  </si>
  <si>
    <t>Sam</t>
  </si>
  <si>
    <t>Ravi</t>
  </si>
  <si>
    <t>Kumar</t>
  </si>
  <si>
    <t>Shyam</t>
  </si>
  <si>
    <t>Anusha</t>
  </si>
  <si>
    <t>Ramya</t>
  </si>
  <si>
    <t>Priya</t>
  </si>
  <si>
    <t>Kavya</t>
  </si>
  <si>
    <t>Navya</t>
  </si>
  <si>
    <t>Nirmala</t>
  </si>
  <si>
    <t>Vasanth</t>
  </si>
  <si>
    <t>Raj</t>
  </si>
  <si>
    <t>Raj kumar</t>
  </si>
  <si>
    <t>Swetha</t>
  </si>
  <si>
    <t>Kumari</t>
  </si>
  <si>
    <t>Madhu</t>
  </si>
  <si>
    <t>Mahesh</t>
  </si>
  <si>
    <t>Mallesh</t>
  </si>
  <si>
    <t>Suresh</t>
  </si>
  <si>
    <t>Ramesh</t>
  </si>
  <si>
    <t>Hema</t>
  </si>
  <si>
    <t>Jay</t>
  </si>
  <si>
    <t>Geetha</t>
  </si>
  <si>
    <t>Sireesha</t>
  </si>
  <si>
    <t>Bharghavi</t>
  </si>
  <si>
    <t>Krishna</t>
  </si>
  <si>
    <t>Santhosh</t>
  </si>
  <si>
    <t>Sugunash</t>
  </si>
  <si>
    <t>Prathap</t>
  </si>
  <si>
    <t>Poojitha</t>
  </si>
  <si>
    <t>Venkat</t>
  </si>
  <si>
    <t>Charan</t>
  </si>
  <si>
    <t>Jyothi</t>
  </si>
  <si>
    <t>Sindhuja</t>
  </si>
  <si>
    <t>Srilekha</t>
  </si>
  <si>
    <t>Honeesha</t>
  </si>
  <si>
    <t>Ram</t>
  </si>
  <si>
    <t>Arjun</t>
  </si>
  <si>
    <t>Tej</t>
  </si>
  <si>
    <t>Sashirkha</t>
  </si>
  <si>
    <t>Prasad</t>
  </si>
  <si>
    <t>Keerthi</t>
  </si>
  <si>
    <t>Sandhya</t>
  </si>
  <si>
    <t>Balakrishn</t>
  </si>
  <si>
    <t>Akbar</t>
  </si>
  <si>
    <t>Bhavana</t>
  </si>
  <si>
    <t>Bhanusri</t>
  </si>
  <si>
    <t>Preethi</t>
  </si>
  <si>
    <t>DhanaLakshmi</t>
  </si>
  <si>
    <t>Twaritha</t>
  </si>
  <si>
    <t>Priyanka</t>
  </si>
  <si>
    <t>Mounica</t>
  </si>
  <si>
    <t>Satya</t>
  </si>
  <si>
    <t>Rambha</t>
  </si>
  <si>
    <t>Naga Rani</t>
  </si>
  <si>
    <t>Gowthami</t>
  </si>
  <si>
    <t>Asma</t>
  </si>
  <si>
    <t>Bilal</t>
  </si>
  <si>
    <t>Sneha</t>
  </si>
  <si>
    <t>Harini</t>
  </si>
  <si>
    <t>Sri lakshmi</t>
  </si>
  <si>
    <t>Saudhamini</t>
  </si>
  <si>
    <t>Pavithra</t>
  </si>
  <si>
    <t>Parvathi</t>
  </si>
  <si>
    <t>Bhanu</t>
  </si>
  <si>
    <t>Surakshitha</t>
  </si>
  <si>
    <t>Kavitha</t>
  </si>
  <si>
    <t>Jahnavi</t>
  </si>
  <si>
    <t>Sooraj</t>
  </si>
  <si>
    <t>Lokesh</t>
  </si>
  <si>
    <t>Vinod</t>
  </si>
  <si>
    <t>Vinay</t>
  </si>
  <si>
    <t>Chandhrashekar</t>
  </si>
  <si>
    <t>Supriya</t>
  </si>
  <si>
    <t>Prashanth</t>
  </si>
  <si>
    <t>Bhargav</t>
  </si>
  <si>
    <t>Chandu</t>
  </si>
  <si>
    <t>Saranya</t>
  </si>
  <si>
    <t>Sangeetha</t>
  </si>
  <si>
    <t>Pranitha</t>
  </si>
  <si>
    <t>Mamatha</t>
  </si>
  <si>
    <t>Hema Sree</t>
  </si>
  <si>
    <t>Suma Sree</t>
  </si>
  <si>
    <t>Upendra</t>
  </si>
  <si>
    <t>Lalitha</t>
  </si>
  <si>
    <t>Hanvika</t>
  </si>
  <si>
    <t>Sathvik</t>
  </si>
  <si>
    <t>Kethan</t>
  </si>
  <si>
    <t>Swarna</t>
  </si>
  <si>
    <t>Dhakshayani</t>
  </si>
  <si>
    <t>Prasanna</t>
  </si>
  <si>
    <t>Swathi</t>
  </si>
  <si>
    <t>Dharshan</t>
  </si>
  <si>
    <t>Nadhi rasan</t>
  </si>
  <si>
    <t>Chaithanya</t>
  </si>
  <si>
    <t>Vasavi</t>
  </si>
  <si>
    <t>Pragathi</t>
  </si>
  <si>
    <t>Anjuma</t>
  </si>
  <si>
    <t>Kishore</t>
  </si>
  <si>
    <t>Harsha</t>
  </si>
  <si>
    <t>Consumer</t>
  </si>
  <si>
    <t xml:space="preserve"> Corporate</t>
  </si>
  <si>
    <t xml:space="preserve"> Home Office</t>
  </si>
  <si>
    <t>Electronics</t>
  </si>
  <si>
    <t xml:space="preserve"> Furniture</t>
  </si>
  <si>
    <t xml:space="preserve"> Office Supplies</t>
  </si>
  <si>
    <t>Laptop</t>
  </si>
  <si>
    <t>Table</t>
  </si>
  <si>
    <t>Printer</t>
  </si>
  <si>
    <t>Total Revenue</t>
  </si>
  <si>
    <t>Total Profit</t>
  </si>
  <si>
    <t>profit margin</t>
  </si>
  <si>
    <t>Year-to-Date sales</t>
  </si>
  <si>
    <t>Sum of Sales</t>
  </si>
  <si>
    <t>Row Labels</t>
  </si>
  <si>
    <t>Grand Total</t>
  </si>
  <si>
    <t>Apr</t>
  </si>
  <si>
    <t>Aug</t>
  </si>
  <si>
    <t>Dec</t>
  </si>
  <si>
    <t>Feb</t>
  </si>
  <si>
    <t>Jan</t>
  </si>
  <si>
    <t>Jul</t>
  </si>
  <si>
    <t>Jun</t>
  </si>
  <si>
    <t>Mar</t>
  </si>
  <si>
    <t>May</t>
  </si>
  <si>
    <t>Nov</t>
  </si>
  <si>
    <t>Oct</t>
  </si>
  <si>
    <t>Sep</t>
  </si>
  <si>
    <t>Average Order Value (AOV)</t>
  </si>
  <si>
    <t>Top Performing Region</t>
  </si>
  <si>
    <t>Region contribution</t>
  </si>
  <si>
    <t>Regional sales</t>
  </si>
  <si>
    <t>Monthly-Sales</t>
  </si>
  <si>
    <t>Product-wise sales</t>
  </si>
  <si>
    <t>Category Contribution</t>
  </si>
  <si>
    <t>Sum of Profit</t>
  </si>
  <si>
    <t>Target % (if target = 50,00,000)</t>
  </si>
  <si>
    <t>Sales Vs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</si>
</sst>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theme="1"/>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0" fontId="2" fillId="0" borderId="1" xfId="0" applyFont="1" applyBorder="1"/>
    <xf numFmtId="9" fontId="0" fillId="0" borderId="0" xfId="1" applyFont="1"/>
    <xf numFmtId="0" fontId="0" fillId="0" borderId="0" xfId="0" applyBorder="1"/>
    <xf numFmtId="9" fontId="0" fillId="0" borderId="0" xfId="1" applyFont="1" applyBorder="1"/>
    <xf numFmtId="0" fontId="0" fillId="0" borderId="1" xfId="0" applyBorder="1"/>
    <xf numFmtId="9" fontId="0" fillId="0" borderId="1" xfId="1" applyFont="1" applyBorder="1"/>
    <xf numFmtId="0" fontId="0" fillId="0" borderId="1" xfId="0" applyBorder="1" applyAlignment="1">
      <alignment horizontal="center"/>
    </xf>
    <xf numFmtId="0" fontId="0" fillId="0" borderId="1" xfId="0" applyBorder="1" applyAlignment="1">
      <alignment horizontal="left"/>
    </xf>
    <xf numFmtId="0" fontId="0" fillId="0" borderId="2" xfId="0" applyBorder="1"/>
    <xf numFmtId="0" fontId="0" fillId="0" borderId="1" xfId="0" pivotButton="1" applyBorder="1"/>
    <xf numFmtId="0" fontId="0" fillId="0" borderId="1" xfId="0" applyNumberFormat="1" applyBorder="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cellXfs>
  <cellStyles count="2">
    <cellStyle name="Normal" xfId="0" builtinId="0"/>
    <cellStyle name="Percent" xfId="1" builtinId="5"/>
  </cellStyles>
  <dxfs count="4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imes New Roman"/>
        <family val="1"/>
        <scheme val="none"/>
      </font>
      <border diagonalUp="0" diagonalDown="0">
        <left style="thin">
          <color indexed="64"/>
        </left>
        <right style="thin">
          <color indexed="64"/>
        </right>
        <top style="thin">
          <color indexed="64"/>
        </top>
        <bottom style="thin">
          <color indexed="64"/>
        </bottom>
        <vertical/>
        <horizontal/>
      </border>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microsoft.com/office/2011/relationships/timelineCache" Target="timelineCaches/timeline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[Day15_KPI's&amp; Dashboard.xlsx]Pivot!PivotTable2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2.5000000000000001E-2"/>
          <c:y val="0.17634259259259263"/>
          <c:w val="0.93888888888888888"/>
          <c:h val="0.72088764946048411"/>
        </c:manualLayout>
      </c:layout>
      <c:lineChart>
        <c:grouping val="standard"/>
        <c:varyColors val="0"/>
        <c:ser>
          <c:idx val="0"/>
          <c:order val="0"/>
          <c:tx>
            <c:strRef>
              <c:f>Pivot!$B$12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Pivot!$B$13:$B$25</c:f>
              <c:numCache>
                <c:formatCode>General</c:formatCode>
                <c:ptCount val="12"/>
                <c:pt idx="0">
                  <c:v>286392</c:v>
                </c:pt>
                <c:pt idx="1">
                  <c:v>320757</c:v>
                </c:pt>
                <c:pt idx="2">
                  <c:v>221234</c:v>
                </c:pt>
                <c:pt idx="3">
                  <c:v>132678</c:v>
                </c:pt>
                <c:pt idx="4">
                  <c:v>238312</c:v>
                </c:pt>
                <c:pt idx="5">
                  <c:v>391339</c:v>
                </c:pt>
                <c:pt idx="6">
                  <c:v>210483</c:v>
                </c:pt>
                <c:pt idx="7">
                  <c:v>373746</c:v>
                </c:pt>
                <c:pt idx="8">
                  <c:v>242277</c:v>
                </c:pt>
                <c:pt idx="9">
                  <c:v>290717</c:v>
                </c:pt>
                <c:pt idx="10">
                  <c:v>185330</c:v>
                </c:pt>
                <c:pt idx="11">
                  <c:v>160518</c:v>
                </c:pt>
              </c:numCache>
            </c:numRef>
          </c:val>
          <c:smooth val="0"/>
          <c:extLst>
            <c:ext xmlns:c16="http://schemas.microsoft.com/office/drawing/2014/chart" uri="{C3380CC4-5D6E-409C-BE32-E72D297353CC}">
              <c16:uniqueId val="{00000000-A502-4CAD-9CB6-818467977B91}"/>
            </c:ext>
          </c:extLst>
        </c:ser>
        <c:dLbls>
          <c:showLegendKey val="0"/>
          <c:showVal val="1"/>
          <c:showCatName val="0"/>
          <c:showSerName val="0"/>
          <c:showPercent val="0"/>
          <c:showBubbleSize val="0"/>
        </c:dLbls>
        <c:marker val="1"/>
        <c:smooth val="0"/>
        <c:axId val="1651579759"/>
        <c:axId val="1651580239"/>
      </c:lineChart>
      <c:catAx>
        <c:axId val="165157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580239"/>
        <c:crosses val="autoZero"/>
        <c:auto val="1"/>
        <c:lblAlgn val="ctr"/>
        <c:lblOffset val="100"/>
        <c:noMultiLvlLbl val="0"/>
      </c:catAx>
      <c:valAx>
        <c:axId val="1651580239"/>
        <c:scaling>
          <c:orientation val="minMax"/>
        </c:scaling>
        <c:delete val="1"/>
        <c:axPos val="l"/>
        <c:numFmt formatCode="General" sourceLinked="1"/>
        <c:majorTickMark val="none"/>
        <c:minorTickMark val="none"/>
        <c:tickLblPos val="nextTo"/>
        <c:crossAx val="165157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[Day15_KPI's&amp; Dashboard.xlsx]Pivot!PivotTable1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2222222222223E-2"/>
          <c:y val="0.17171296296296298"/>
          <c:w val="0.93888888888888888"/>
          <c:h val="0.72088764946048411"/>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East</c:v>
                </c:pt>
                <c:pt idx="1">
                  <c:v>North</c:v>
                </c:pt>
                <c:pt idx="2">
                  <c:v>South</c:v>
                </c:pt>
                <c:pt idx="3">
                  <c:v>West</c:v>
                </c:pt>
              </c:strCache>
            </c:strRef>
          </c:cat>
          <c:val>
            <c:numRef>
              <c:f>Pivot!$B$4:$B$8</c:f>
              <c:numCache>
                <c:formatCode>General</c:formatCode>
                <c:ptCount val="4"/>
                <c:pt idx="0">
                  <c:v>726315</c:v>
                </c:pt>
                <c:pt idx="1">
                  <c:v>873394</c:v>
                </c:pt>
                <c:pt idx="2">
                  <c:v>723346</c:v>
                </c:pt>
                <c:pt idx="3">
                  <c:v>730728</c:v>
                </c:pt>
              </c:numCache>
            </c:numRef>
          </c:val>
          <c:extLst>
            <c:ext xmlns:c16="http://schemas.microsoft.com/office/drawing/2014/chart" uri="{C3380CC4-5D6E-409C-BE32-E72D297353CC}">
              <c16:uniqueId val="{00000000-BA81-4ADD-9929-21A5E3901FAD}"/>
            </c:ext>
          </c:extLst>
        </c:ser>
        <c:dLbls>
          <c:dLblPos val="outEnd"/>
          <c:showLegendKey val="0"/>
          <c:showVal val="1"/>
          <c:showCatName val="0"/>
          <c:showSerName val="0"/>
          <c:showPercent val="0"/>
          <c:showBubbleSize val="0"/>
        </c:dLbls>
        <c:gapWidth val="80"/>
        <c:overlap val="-27"/>
        <c:axId val="1832981519"/>
        <c:axId val="2087313551"/>
      </c:barChart>
      <c:catAx>
        <c:axId val="183298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313551"/>
        <c:crosses val="autoZero"/>
        <c:auto val="1"/>
        <c:lblAlgn val="ctr"/>
        <c:lblOffset val="100"/>
        <c:noMultiLvlLbl val="0"/>
      </c:catAx>
      <c:valAx>
        <c:axId val="2087313551"/>
        <c:scaling>
          <c:orientation val="minMax"/>
        </c:scaling>
        <c:delete val="1"/>
        <c:axPos val="l"/>
        <c:numFmt formatCode="General" sourceLinked="1"/>
        <c:majorTickMark val="none"/>
        <c:minorTickMark val="none"/>
        <c:tickLblPos val="nextTo"/>
        <c:crossAx val="18329815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[Day15_KPI's&amp; Dashboard.xlsx]Pivot!PivotTable3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Pivot!$E$4</c:f>
              <c:strCache>
                <c:ptCount val="1"/>
                <c:pt idx="0">
                  <c:v>Total</c:v>
                </c:pt>
              </c:strCache>
            </c:strRef>
          </c:tx>
          <c:spPr>
            <a:solidFill>
              <a:schemeClr val="accent1"/>
            </a:solidFill>
            <a:ln>
              <a:noFill/>
            </a:ln>
            <a:effectLst/>
          </c:spPr>
          <c:invertIfNegative val="0"/>
          <c:cat>
            <c:strRef>
              <c:f>Pivot!$D$5:$D$8</c:f>
              <c:strCache>
                <c:ptCount val="3"/>
                <c:pt idx="0">
                  <c:v>Laptop</c:v>
                </c:pt>
                <c:pt idx="1">
                  <c:v>Printer</c:v>
                </c:pt>
                <c:pt idx="2">
                  <c:v>Table</c:v>
                </c:pt>
              </c:strCache>
            </c:strRef>
          </c:cat>
          <c:val>
            <c:numRef>
              <c:f>Pivot!$E$5:$E$8</c:f>
              <c:numCache>
                <c:formatCode>General</c:formatCode>
                <c:ptCount val="3"/>
                <c:pt idx="0">
                  <c:v>1046196</c:v>
                </c:pt>
                <c:pt idx="1">
                  <c:v>1023163</c:v>
                </c:pt>
                <c:pt idx="2">
                  <c:v>984424</c:v>
                </c:pt>
              </c:numCache>
            </c:numRef>
          </c:val>
          <c:extLst>
            <c:ext xmlns:c16="http://schemas.microsoft.com/office/drawing/2014/chart" uri="{C3380CC4-5D6E-409C-BE32-E72D297353CC}">
              <c16:uniqueId val="{00000000-35A6-438D-BB40-7782A3662E4D}"/>
            </c:ext>
          </c:extLst>
        </c:ser>
        <c:dLbls>
          <c:showLegendKey val="0"/>
          <c:showVal val="0"/>
          <c:showCatName val="0"/>
          <c:showSerName val="0"/>
          <c:showPercent val="0"/>
          <c:showBubbleSize val="0"/>
        </c:dLbls>
        <c:gapWidth val="80"/>
        <c:axId val="2075444831"/>
        <c:axId val="585736847"/>
      </c:barChart>
      <c:catAx>
        <c:axId val="207544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736847"/>
        <c:crosses val="autoZero"/>
        <c:auto val="1"/>
        <c:lblAlgn val="ctr"/>
        <c:lblOffset val="100"/>
        <c:noMultiLvlLbl val="0"/>
      </c:catAx>
      <c:valAx>
        <c:axId val="585736847"/>
        <c:scaling>
          <c:orientation val="minMax"/>
        </c:scaling>
        <c:delete val="1"/>
        <c:axPos val="b"/>
        <c:numFmt formatCode="General" sourceLinked="1"/>
        <c:majorTickMark val="none"/>
        <c:minorTickMark val="none"/>
        <c:tickLblPos val="nextTo"/>
        <c:crossAx val="207544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[Day15_KPI's&amp; Dashboard.xlsx]Pivot!PivotTable4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Pivot!$E$12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A0-4C41-B055-AD160B61AE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A0-4C41-B055-AD160B61AE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A0-4C41-B055-AD160B61AE37}"/>
              </c:ext>
            </c:extLst>
          </c:dPt>
          <c:cat>
            <c:strRef>
              <c:f>Pivot!$D$13:$D$16</c:f>
              <c:strCache>
                <c:ptCount val="3"/>
                <c:pt idx="0">
                  <c:v> Furniture</c:v>
                </c:pt>
                <c:pt idx="1">
                  <c:v> Office Supplies</c:v>
                </c:pt>
                <c:pt idx="2">
                  <c:v>Electronics</c:v>
                </c:pt>
              </c:strCache>
            </c:strRef>
          </c:cat>
          <c:val>
            <c:numRef>
              <c:f>Pivot!$E$13:$E$16</c:f>
              <c:numCache>
                <c:formatCode>General</c:formatCode>
                <c:ptCount val="3"/>
                <c:pt idx="0">
                  <c:v>984424</c:v>
                </c:pt>
                <c:pt idx="1">
                  <c:v>1023163</c:v>
                </c:pt>
                <c:pt idx="2">
                  <c:v>1046196</c:v>
                </c:pt>
              </c:numCache>
            </c:numRef>
          </c:val>
          <c:extLst>
            <c:ext xmlns:c16="http://schemas.microsoft.com/office/drawing/2014/chart" uri="{C3380CC4-5D6E-409C-BE32-E72D297353CC}">
              <c16:uniqueId val="{00000006-EEA0-4C41-B055-AD160B61AE3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2591456846788636"/>
          <c:y val="0.69617403593781557"/>
          <c:w val="0.17065819033927293"/>
          <c:h val="0.29980854515201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[Day15_KPI's&amp; Dashboard.xlsx]Pivot!PivotTable5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Pivot!$E$20</c:f>
              <c:strCache>
                <c:ptCount val="1"/>
                <c:pt idx="0">
                  <c:v>Sum of Sales</c:v>
                </c:pt>
              </c:strCache>
            </c:strRef>
          </c:tx>
          <c:spPr>
            <a:solidFill>
              <a:schemeClr val="accent1"/>
            </a:solidFill>
            <a:ln>
              <a:noFill/>
            </a:ln>
            <a:effectLst/>
          </c:spPr>
          <c:invertIfNegative val="0"/>
          <c:cat>
            <c:strRef>
              <c:f>Pivot!$D$21:$D$24</c:f>
              <c:strCache>
                <c:ptCount val="3"/>
                <c:pt idx="0">
                  <c:v>Table</c:v>
                </c:pt>
                <c:pt idx="1">
                  <c:v>Printer</c:v>
                </c:pt>
                <c:pt idx="2">
                  <c:v>Laptop</c:v>
                </c:pt>
              </c:strCache>
            </c:strRef>
          </c:cat>
          <c:val>
            <c:numRef>
              <c:f>Pivot!$E$21:$E$24</c:f>
              <c:numCache>
                <c:formatCode>General</c:formatCode>
                <c:ptCount val="3"/>
                <c:pt idx="0">
                  <c:v>984424</c:v>
                </c:pt>
                <c:pt idx="1">
                  <c:v>1023163</c:v>
                </c:pt>
                <c:pt idx="2">
                  <c:v>1046196</c:v>
                </c:pt>
              </c:numCache>
            </c:numRef>
          </c:val>
          <c:extLst>
            <c:ext xmlns:c16="http://schemas.microsoft.com/office/drawing/2014/chart" uri="{C3380CC4-5D6E-409C-BE32-E72D297353CC}">
              <c16:uniqueId val="{00000000-8C8D-498E-A8D2-FA9C73FED722}"/>
            </c:ext>
          </c:extLst>
        </c:ser>
        <c:dLbls>
          <c:showLegendKey val="0"/>
          <c:showVal val="0"/>
          <c:showCatName val="0"/>
          <c:showSerName val="0"/>
          <c:showPercent val="0"/>
          <c:showBubbleSize val="0"/>
        </c:dLbls>
        <c:gapWidth val="80"/>
        <c:overlap val="-27"/>
        <c:axId val="1636594207"/>
        <c:axId val="1636593247"/>
      </c:barChart>
      <c:lineChart>
        <c:grouping val="standard"/>
        <c:varyColors val="0"/>
        <c:ser>
          <c:idx val="1"/>
          <c:order val="1"/>
          <c:tx>
            <c:strRef>
              <c:f>Pivot!$F$20</c:f>
              <c:strCache>
                <c:ptCount val="1"/>
                <c:pt idx="0">
                  <c:v>Sum of Profit</c:v>
                </c:pt>
              </c:strCache>
            </c:strRef>
          </c:tx>
          <c:spPr>
            <a:ln w="28575" cap="rnd">
              <a:solidFill>
                <a:schemeClr val="accent2"/>
              </a:solidFill>
              <a:round/>
            </a:ln>
            <a:effectLst/>
          </c:spPr>
          <c:marker>
            <c:symbol val="none"/>
          </c:marker>
          <c:cat>
            <c:strRef>
              <c:f>Pivot!$D$21:$D$24</c:f>
              <c:strCache>
                <c:ptCount val="3"/>
                <c:pt idx="0">
                  <c:v>Table</c:v>
                </c:pt>
                <c:pt idx="1">
                  <c:v>Printer</c:v>
                </c:pt>
                <c:pt idx="2">
                  <c:v>Laptop</c:v>
                </c:pt>
              </c:strCache>
            </c:strRef>
          </c:cat>
          <c:val>
            <c:numRef>
              <c:f>Pivot!$F$21:$F$24</c:f>
              <c:numCache>
                <c:formatCode>General</c:formatCode>
                <c:ptCount val="3"/>
                <c:pt idx="0">
                  <c:v>196884.79999999993</c:v>
                </c:pt>
                <c:pt idx="1">
                  <c:v>204632.60000000003</c:v>
                </c:pt>
                <c:pt idx="2">
                  <c:v>209239.20000000004</c:v>
                </c:pt>
              </c:numCache>
            </c:numRef>
          </c:val>
          <c:smooth val="0"/>
          <c:extLst>
            <c:ext xmlns:c16="http://schemas.microsoft.com/office/drawing/2014/chart" uri="{C3380CC4-5D6E-409C-BE32-E72D297353CC}">
              <c16:uniqueId val="{00000001-8C8D-498E-A8D2-FA9C73FED722}"/>
            </c:ext>
          </c:extLst>
        </c:ser>
        <c:dLbls>
          <c:showLegendKey val="0"/>
          <c:showVal val="0"/>
          <c:showCatName val="0"/>
          <c:showSerName val="0"/>
          <c:showPercent val="0"/>
          <c:showBubbleSize val="0"/>
        </c:dLbls>
        <c:marker val="1"/>
        <c:smooth val="0"/>
        <c:axId val="2085579711"/>
        <c:axId val="2085580191"/>
      </c:lineChart>
      <c:catAx>
        <c:axId val="20855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80191"/>
        <c:crosses val="autoZero"/>
        <c:auto val="1"/>
        <c:lblAlgn val="ctr"/>
        <c:lblOffset val="100"/>
        <c:noMultiLvlLbl val="0"/>
      </c:catAx>
      <c:valAx>
        <c:axId val="2085580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79711"/>
        <c:crosses val="autoZero"/>
        <c:crossBetween val="between"/>
      </c:valAx>
      <c:valAx>
        <c:axId val="16365932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594207"/>
        <c:crosses val="max"/>
        <c:crossBetween val="between"/>
      </c:valAx>
      <c:catAx>
        <c:axId val="1636594207"/>
        <c:scaling>
          <c:orientation val="minMax"/>
        </c:scaling>
        <c:delete val="1"/>
        <c:axPos val="b"/>
        <c:numFmt formatCode="General" sourceLinked="1"/>
        <c:majorTickMark val="out"/>
        <c:minorTickMark val="none"/>
        <c:tickLblPos val="nextTo"/>
        <c:crossAx val="163659324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304800</xdr:colOff>
      <xdr:row>20</xdr:row>
      <xdr:rowOff>22860</xdr:rowOff>
    </xdr:from>
    <xdr:to>
      <xdr:col>9</xdr:col>
      <xdr:colOff>0</xdr:colOff>
      <xdr:row>30</xdr:row>
      <xdr:rowOff>0</xdr:rowOff>
    </xdr:to>
    <xdr:graphicFrame macro="">
      <xdr:nvGraphicFramePr>
        <xdr:cNvPr id="2" name="Monthly_Sales">
          <a:extLst>
            <a:ext uri="{FF2B5EF4-FFF2-40B4-BE49-F238E27FC236}">
              <a16:creationId xmlns:a16="http://schemas.microsoft.com/office/drawing/2014/main" id="{AC38D768-0B6D-9A86-06A0-AE8DEF8CC4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426720</xdr:colOff>
      <xdr:row>17</xdr:row>
      <xdr:rowOff>15240</xdr:rowOff>
    </xdr:from>
    <xdr:to>
      <xdr:col>18</xdr:col>
      <xdr:colOff>121920</xdr:colOff>
      <xdr:row>32</xdr:row>
      <xdr:rowOff>15240</xdr:rowOff>
    </xdr:to>
    <xdr:graphicFrame macro="">
      <xdr:nvGraphicFramePr>
        <xdr:cNvPr id="3" name="Regional sales">
          <a:extLst>
            <a:ext uri="{FF2B5EF4-FFF2-40B4-BE49-F238E27FC236}">
              <a16:creationId xmlns:a16="http://schemas.microsoft.com/office/drawing/2014/main" id="{60F1F274-598C-04AD-146C-758887894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327660</xdr:colOff>
      <xdr:row>8</xdr:row>
      <xdr:rowOff>7620</xdr:rowOff>
    </xdr:from>
    <xdr:to>
      <xdr:col>9</xdr:col>
      <xdr:colOff>22860</xdr:colOff>
      <xdr:row>19</xdr:row>
      <xdr:rowOff>30480</xdr:rowOff>
    </xdr:to>
    <xdr:graphicFrame macro="">
      <xdr:nvGraphicFramePr>
        <xdr:cNvPr id="4" name="Product sales">
          <a:extLst>
            <a:ext uri="{FF2B5EF4-FFF2-40B4-BE49-F238E27FC236}">
              <a16:creationId xmlns:a16="http://schemas.microsoft.com/office/drawing/2014/main" id="{234F277D-62A9-9901-E41B-16E43C904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304800</xdr:colOff>
      <xdr:row>31</xdr:row>
      <xdr:rowOff>7620</xdr:rowOff>
    </xdr:from>
    <xdr:to>
      <xdr:col>8</xdr:col>
      <xdr:colOff>586740</xdr:colOff>
      <xdr:row>46</xdr:row>
      <xdr:rowOff>137160</xdr:rowOff>
    </xdr:to>
    <xdr:graphicFrame macro="">
      <xdr:nvGraphicFramePr>
        <xdr:cNvPr id="5" name="Sales by region">
          <a:extLst>
            <a:ext uri="{FF2B5EF4-FFF2-40B4-BE49-F238E27FC236}">
              <a16:creationId xmlns:a16="http://schemas.microsoft.com/office/drawing/2014/main" id="{412F24A8-BD68-0A2B-747B-ECA0E4D49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365760</xdr:colOff>
      <xdr:row>32</xdr:row>
      <xdr:rowOff>152400</xdr:rowOff>
    </xdr:from>
    <xdr:to>
      <xdr:col>18</xdr:col>
      <xdr:colOff>60960</xdr:colOff>
      <xdr:row>47</xdr:row>
      <xdr:rowOff>152400</xdr:rowOff>
    </xdr:to>
    <xdr:graphicFrame macro="">
      <xdr:nvGraphicFramePr>
        <xdr:cNvPr id="6" name="Chart 5">
          <a:extLst>
            <a:ext uri="{FF2B5EF4-FFF2-40B4-BE49-F238E27FC236}">
              <a16:creationId xmlns:a16="http://schemas.microsoft.com/office/drawing/2014/main" id="{EDC65FC5-A4C5-2243-FA07-4CB4280D3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251460</xdr:colOff>
      <xdr:row>3</xdr:row>
      <xdr:rowOff>0</xdr:rowOff>
    </xdr:from>
    <xdr:to>
      <xdr:col>4</xdr:col>
      <xdr:colOff>251460</xdr:colOff>
      <xdr:row>7</xdr:row>
      <xdr:rowOff>0</xdr:rowOff>
    </xdr:to>
    <xdr:sp macro="" textlink="'KPI''s'!B1">
      <xdr:nvSpPr>
        <xdr:cNvPr id="7" name="Rectangle: Rounded Corners 6">
          <a:extLst>
            <a:ext uri="{FF2B5EF4-FFF2-40B4-BE49-F238E27FC236}">
              <a16:creationId xmlns:a16="http://schemas.microsoft.com/office/drawing/2014/main" id="{C6FDA52C-2DC3-E7F8-8E1E-1E4DABCA8A11}"/>
            </a:ext>
          </a:extLst>
        </xdr:cNvPr>
        <xdr:cNvSpPr/>
      </xdr:nvSpPr>
      <xdr:spPr>
        <a:xfrm>
          <a:off x="861060" y="137160"/>
          <a:ext cx="18288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9713119-3F1A-4A45-81AE-B9E0DF4F3CAE}" type="TxLink">
            <a:rPr lang="en-US" sz="2000" b="1" i="1" u="none" strike="noStrike">
              <a:solidFill>
                <a:srgbClr val="FF0000"/>
              </a:solidFill>
              <a:latin typeface="Segoe UI" panose="020B0502040204020203" pitchFamily="34" charset="0"/>
              <a:ea typeface="Calibri"/>
              <a:cs typeface="Segoe UI" panose="020B0502040204020203" pitchFamily="34" charset="0"/>
            </a:rPr>
            <a:pPr algn="ctr"/>
            <a:t>3053783</a:t>
          </a:fld>
          <a:endParaRPr lang="en-IN" sz="2000" b="1" i="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15</xdr:col>
      <xdr:colOff>213360</xdr:colOff>
      <xdr:row>3</xdr:row>
      <xdr:rowOff>0</xdr:rowOff>
    </xdr:from>
    <xdr:to>
      <xdr:col>18</xdr:col>
      <xdr:colOff>213360</xdr:colOff>
      <xdr:row>7</xdr:row>
      <xdr:rowOff>0</xdr:rowOff>
    </xdr:to>
    <xdr:sp macro="" textlink="'KPI''s'!B7">
      <xdr:nvSpPr>
        <xdr:cNvPr id="8" name="Rectangle: Rounded Corners 7">
          <a:extLst>
            <a:ext uri="{FF2B5EF4-FFF2-40B4-BE49-F238E27FC236}">
              <a16:creationId xmlns:a16="http://schemas.microsoft.com/office/drawing/2014/main" id="{2E919F15-E76D-4F8A-B7A3-A62E49B16B7C}"/>
            </a:ext>
          </a:extLst>
        </xdr:cNvPr>
        <xdr:cNvSpPr/>
      </xdr:nvSpPr>
      <xdr:spPr>
        <a:xfrm>
          <a:off x="9357360" y="137160"/>
          <a:ext cx="18288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8CC886D-FF54-4CC0-AB88-418A36702079}" type="TxLink">
            <a:rPr lang="en-US" sz="2000" b="1" i="1" u="none" strike="noStrike">
              <a:solidFill>
                <a:srgbClr val="FF0000"/>
              </a:solidFill>
              <a:latin typeface="Segoe UI" panose="020B0502040204020203" pitchFamily="34" charset="0"/>
              <a:ea typeface="Calibri"/>
              <a:cs typeface="Segoe UI" panose="020B0502040204020203" pitchFamily="34" charset="0"/>
            </a:rPr>
            <a:pPr algn="ctr"/>
            <a:t>61%</a:t>
          </a:fld>
          <a:endParaRPr lang="en-IN" sz="2000" b="1" i="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11</xdr:col>
      <xdr:colOff>487680</xdr:colOff>
      <xdr:row>3</xdr:row>
      <xdr:rowOff>0</xdr:rowOff>
    </xdr:from>
    <xdr:to>
      <xdr:col>14</xdr:col>
      <xdr:colOff>487680</xdr:colOff>
      <xdr:row>7</xdr:row>
      <xdr:rowOff>15240</xdr:rowOff>
    </xdr:to>
    <xdr:sp macro="" textlink="'KPI''s'!B5">
      <xdr:nvSpPr>
        <xdr:cNvPr id="9" name="Rectangle: Rounded Corners 8">
          <a:extLst>
            <a:ext uri="{FF2B5EF4-FFF2-40B4-BE49-F238E27FC236}">
              <a16:creationId xmlns:a16="http://schemas.microsoft.com/office/drawing/2014/main" id="{3B153849-7D4D-4985-A09E-80BE995F2146}"/>
            </a:ext>
          </a:extLst>
        </xdr:cNvPr>
        <xdr:cNvSpPr/>
      </xdr:nvSpPr>
      <xdr:spPr>
        <a:xfrm>
          <a:off x="7193280" y="152400"/>
          <a:ext cx="18288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5DF8802-5DCD-48F2-A4BE-1C70C8DBBD3D}" type="TxLink">
            <a:rPr lang="en-US" sz="2000" b="1" i="1" u="none" strike="noStrike">
              <a:solidFill>
                <a:srgbClr val="FF0000"/>
              </a:solidFill>
              <a:latin typeface="Segoe UI" panose="020B0502040204020203" pitchFamily="34" charset="0"/>
              <a:ea typeface="Calibri"/>
              <a:cs typeface="Segoe UI" panose="020B0502040204020203" pitchFamily="34" charset="0"/>
            </a:rPr>
            <a:pPr algn="ctr"/>
            <a:t>24%</a:t>
          </a:fld>
          <a:endParaRPr lang="en-IN" sz="2000" b="1" i="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8</xdr:col>
      <xdr:colOff>236220</xdr:colOff>
      <xdr:row>3</xdr:row>
      <xdr:rowOff>0</xdr:rowOff>
    </xdr:from>
    <xdr:to>
      <xdr:col>11</xdr:col>
      <xdr:colOff>236220</xdr:colOff>
      <xdr:row>6</xdr:row>
      <xdr:rowOff>175260</xdr:rowOff>
    </xdr:to>
    <xdr:sp macro="" textlink="'KPI''s'!B3">
      <xdr:nvSpPr>
        <xdr:cNvPr id="10" name="Rectangle: Rounded Corners 9">
          <a:extLst>
            <a:ext uri="{FF2B5EF4-FFF2-40B4-BE49-F238E27FC236}">
              <a16:creationId xmlns:a16="http://schemas.microsoft.com/office/drawing/2014/main" id="{B1F797A2-3483-45CD-99A9-72F00B2C057E}"/>
            </a:ext>
          </a:extLst>
        </xdr:cNvPr>
        <xdr:cNvSpPr/>
      </xdr:nvSpPr>
      <xdr:spPr>
        <a:xfrm>
          <a:off x="5113020" y="129540"/>
          <a:ext cx="18288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F1E2526-E411-4FDC-A615-A1FBD0B2E57F}" type="TxLink">
            <a:rPr lang="en-US" sz="2000" b="1" i="1" u="none" strike="noStrike">
              <a:solidFill>
                <a:srgbClr val="FF0000"/>
              </a:solidFill>
              <a:latin typeface="Segoe UI" panose="020B0502040204020203" pitchFamily="34" charset="0"/>
              <a:ea typeface="Calibri"/>
              <a:cs typeface="Segoe UI" panose="020B0502040204020203" pitchFamily="34" charset="0"/>
            </a:rPr>
            <a:pPr algn="ctr"/>
            <a:t>20%</a:t>
          </a:fld>
          <a:endParaRPr lang="en-IN" sz="2000" b="1" i="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4</xdr:col>
      <xdr:colOff>533400</xdr:colOff>
      <xdr:row>3</xdr:row>
      <xdr:rowOff>0</xdr:rowOff>
    </xdr:from>
    <xdr:to>
      <xdr:col>7</xdr:col>
      <xdr:colOff>533400</xdr:colOff>
      <xdr:row>6</xdr:row>
      <xdr:rowOff>160020</xdr:rowOff>
    </xdr:to>
    <xdr:sp macro="" textlink="'KPI''s'!B2">
      <xdr:nvSpPr>
        <xdr:cNvPr id="11" name="Rectangle: Rounded Corners 10">
          <a:extLst>
            <a:ext uri="{FF2B5EF4-FFF2-40B4-BE49-F238E27FC236}">
              <a16:creationId xmlns:a16="http://schemas.microsoft.com/office/drawing/2014/main" id="{C4581A0E-9B96-4B8A-BFB9-453E99A61FED}"/>
            </a:ext>
          </a:extLst>
        </xdr:cNvPr>
        <xdr:cNvSpPr/>
      </xdr:nvSpPr>
      <xdr:spPr>
        <a:xfrm>
          <a:off x="2971800" y="114300"/>
          <a:ext cx="18288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974C582-0AC3-4346-B31B-985B03CE1684}" type="TxLink">
            <a:rPr lang="en-US" sz="2000" b="1" i="1" u="none" strike="noStrike">
              <a:solidFill>
                <a:srgbClr val="FF0000"/>
              </a:solidFill>
              <a:latin typeface="Segoe UI" panose="020B0502040204020203" pitchFamily="34" charset="0"/>
              <a:ea typeface="Calibri"/>
              <a:cs typeface="Segoe UI" panose="020B0502040204020203" pitchFamily="34" charset="0"/>
            </a:rPr>
            <a:pPr algn="ctr"/>
            <a:t>610756.6</a:t>
          </a:fld>
          <a:endParaRPr lang="en-IN" sz="2000" b="1" i="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1</xdr:col>
      <xdr:colOff>289560</xdr:colOff>
      <xdr:row>5</xdr:row>
      <xdr:rowOff>15240</xdr:rowOff>
    </xdr:from>
    <xdr:to>
      <xdr:col>4</xdr:col>
      <xdr:colOff>243840</xdr:colOff>
      <xdr:row>6</xdr:row>
      <xdr:rowOff>175260</xdr:rowOff>
    </xdr:to>
    <xdr:sp macro="" textlink="">
      <xdr:nvSpPr>
        <xdr:cNvPr id="12" name="TextBox 11">
          <a:extLst>
            <a:ext uri="{FF2B5EF4-FFF2-40B4-BE49-F238E27FC236}">
              <a16:creationId xmlns:a16="http://schemas.microsoft.com/office/drawing/2014/main" id="{23B36359-E7ED-0BFA-44C6-3F7C90B1CFB0}"/>
            </a:ext>
          </a:extLst>
        </xdr:cNvPr>
        <xdr:cNvSpPr txBox="1"/>
      </xdr:nvSpPr>
      <xdr:spPr>
        <a:xfrm>
          <a:off x="899160" y="563880"/>
          <a:ext cx="1783080" cy="3429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1">
              <a:solidFill>
                <a:schemeClr val="bg1"/>
              </a:solidFill>
              <a:latin typeface="Segoe UI" panose="020B0502040204020203" pitchFamily="34" charset="0"/>
              <a:cs typeface="Segoe UI" panose="020B0502040204020203" pitchFamily="34" charset="0"/>
            </a:rPr>
            <a:t>Total Revenue</a:t>
          </a:r>
        </a:p>
      </xdr:txBody>
    </xdr:sp>
    <xdr:clientData/>
  </xdr:twoCellAnchor>
  <xdr:twoCellAnchor>
    <xdr:from>
      <xdr:col>4</xdr:col>
      <xdr:colOff>571500</xdr:colOff>
      <xdr:row>5</xdr:row>
      <xdr:rowOff>15240</xdr:rowOff>
    </xdr:from>
    <xdr:to>
      <xdr:col>7</xdr:col>
      <xdr:colOff>525780</xdr:colOff>
      <xdr:row>6</xdr:row>
      <xdr:rowOff>114300</xdr:rowOff>
    </xdr:to>
    <xdr:sp macro="" textlink="">
      <xdr:nvSpPr>
        <xdr:cNvPr id="14" name="TextBox 13">
          <a:extLst>
            <a:ext uri="{FF2B5EF4-FFF2-40B4-BE49-F238E27FC236}">
              <a16:creationId xmlns:a16="http://schemas.microsoft.com/office/drawing/2014/main" id="{CFF6852D-7319-4F3B-8FDB-B21341713A63}"/>
            </a:ext>
          </a:extLst>
        </xdr:cNvPr>
        <xdr:cNvSpPr txBox="1"/>
      </xdr:nvSpPr>
      <xdr:spPr>
        <a:xfrm>
          <a:off x="3009900" y="929640"/>
          <a:ext cx="1783080" cy="2819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1">
              <a:solidFill>
                <a:schemeClr val="bg1"/>
              </a:solidFill>
              <a:latin typeface="Segoe UI" panose="020B0502040204020203" pitchFamily="34" charset="0"/>
              <a:ea typeface="+mn-ea"/>
              <a:cs typeface="Segoe UI" panose="020B0502040204020203" pitchFamily="34" charset="0"/>
            </a:rPr>
            <a:t>Total</a:t>
          </a:r>
          <a:r>
            <a:rPr lang="en-IN" sz="1600"/>
            <a:t> </a:t>
          </a:r>
          <a:r>
            <a:rPr lang="en-IN" sz="1600" b="1" i="1">
              <a:solidFill>
                <a:schemeClr val="bg1"/>
              </a:solidFill>
              <a:latin typeface="Segoe UI" panose="020B0502040204020203" pitchFamily="34" charset="0"/>
              <a:ea typeface="+mn-ea"/>
              <a:cs typeface="Segoe UI" panose="020B0502040204020203" pitchFamily="34" charset="0"/>
            </a:rPr>
            <a:t>Profit</a:t>
          </a:r>
        </a:p>
      </xdr:txBody>
    </xdr:sp>
    <xdr:clientData/>
  </xdr:twoCellAnchor>
  <xdr:twoCellAnchor>
    <xdr:from>
      <xdr:col>8</xdr:col>
      <xdr:colOff>259080</xdr:colOff>
      <xdr:row>5</xdr:row>
      <xdr:rowOff>22860</xdr:rowOff>
    </xdr:from>
    <xdr:to>
      <xdr:col>11</xdr:col>
      <xdr:colOff>213360</xdr:colOff>
      <xdr:row>6</xdr:row>
      <xdr:rowOff>137160</xdr:rowOff>
    </xdr:to>
    <xdr:sp macro="" textlink="">
      <xdr:nvSpPr>
        <xdr:cNvPr id="15" name="TextBox 14">
          <a:extLst>
            <a:ext uri="{FF2B5EF4-FFF2-40B4-BE49-F238E27FC236}">
              <a16:creationId xmlns:a16="http://schemas.microsoft.com/office/drawing/2014/main" id="{6E6F8370-47BB-4095-9965-48B36D9D02C2}"/>
            </a:ext>
          </a:extLst>
        </xdr:cNvPr>
        <xdr:cNvSpPr txBox="1"/>
      </xdr:nvSpPr>
      <xdr:spPr>
        <a:xfrm>
          <a:off x="5135880" y="571500"/>
          <a:ext cx="1783080" cy="2971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1">
              <a:solidFill>
                <a:schemeClr val="bg1"/>
              </a:solidFill>
              <a:latin typeface="Segoe UI" panose="020B0502040204020203" pitchFamily="34" charset="0"/>
              <a:ea typeface="+mn-ea"/>
              <a:cs typeface="Segoe UI" panose="020B0502040204020203" pitchFamily="34" charset="0"/>
            </a:rPr>
            <a:t>Profit</a:t>
          </a:r>
          <a:r>
            <a:rPr lang="en-IN" sz="1600" b="1" i="1">
              <a:solidFill>
                <a:schemeClr val="bg1"/>
              </a:solidFill>
              <a:latin typeface="Segoe UI" panose="020B0502040204020203" pitchFamily="34" charset="0"/>
              <a:cs typeface="Segoe UI" panose="020B0502040204020203" pitchFamily="34" charset="0"/>
            </a:rPr>
            <a:t> Margin</a:t>
          </a:r>
        </a:p>
      </xdr:txBody>
    </xdr:sp>
    <xdr:clientData/>
  </xdr:twoCellAnchor>
  <xdr:twoCellAnchor>
    <xdr:from>
      <xdr:col>11</xdr:col>
      <xdr:colOff>510540</xdr:colOff>
      <xdr:row>5</xdr:row>
      <xdr:rowOff>45720</xdr:rowOff>
    </xdr:from>
    <xdr:to>
      <xdr:col>14</xdr:col>
      <xdr:colOff>464820</xdr:colOff>
      <xdr:row>6</xdr:row>
      <xdr:rowOff>137160</xdr:rowOff>
    </xdr:to>
    <xdr:sp macro="" textlink="">
      <xdr:nvSpPr>
        <xdr:cNvPr id="16" name="TextBox 15">
          <a:extLst>
            <a:ext uri="{FF2B5EF4-FFF2-40B4-BE49-F238E27FC236}">
              <a16:creationId xmlns:a16="http://schemas.microsoft.com/office/drawing/2014/main" id="{E5D7755F-B252-4405-B83B-1F9E8B06B335}"/>
            </a:ext>
          </a:extLst>
        </xdr:cNvPr>
        <xdr:cNvSpPr txBox="1"/>
      </xdr:nvSpPr>
      <xdr:spPr>
        <a:xfrm>
          <a:off x="7216140" y="594360"/>
          <a:ext cx="1783080" cy="2743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1">
              <a:solidFill>
                <a:schemeClr val="bg1"/>
              </a:solidFill>
              <a:latin typeface="Segoe UI" panose="020B0502040204020203" pitchFamily="34" charset="0"/>
              <a:cs typeface="Segoe UI" panose="020B0502040204020203" pitchFamily="34" charset="0"/>
            </a:rPr>
            <a:t>AOV</a:t>
          </a:r>
        </a:p>
      </xdr:txBody>
    </xdr:sp>
    <xdr:clientData/>
  </xdr:twoCellAnchor>
  <xdr:twoCellAnchor>
    <xdr:from>
      <xdr:col>15</xdr:col>
      <xdr:colOff>251460</xdr:colOff>
      <xdr:row>5</xdr:row>
      <xdr:rowOff>0</xdr:rowOff>
    </xdr:from>
    <xdr:to>
      <xdr:col>18</xdr:col>
      <xdr:colOff>205740</xdr:colOff>
      <xdr:row>6</xdr:row>
      <xdr:rowOff>137160</xdr:rowOff>
    </xdr:to>
    <xdr:sp macro="" textlink="">
      <xdr:nvSpPr>
        <xdr:cNvPr id="17" name="TextBox 16">
          <a:extLst>
            <a:ext uri="{FF2B5EF4-FFF2-40B4-BE49-F238E27FC236}">
              <a16:creationId xmlns:a16="http://schemas.microsoft.com/office/drawing/2014/main" id="{9FD6909C-3302-48D8-8E4C-2D772757BDEF}"/>
            </a:ext>
          </a:extLst>
        </xdr:cNvPr>
        <xdr:cNvSpPr txBox="1"/>
      </xdr:nvSpPr>
      <xdr:spPr>
        <a:xfrm>
          <a:off x="9395460" y="548640"/>
          <a:ext cx="1783080" cy="3200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1">
              <a:solidFill>
                <a:schemeClr val="bg1"/>
              </a:solidFill>
              <a:latin typeface="Segoe UI" panose="020B0502040204020203" pitchFamily="34" charset="0"/>
              <a:cs typeface="Segoe UI" panose="020B0502040204020203" pitchFamily="34" charset="0"/>
            </a:rPr>
            <a:t>Target  %</a:t>
          </a:r>
        </a:p>
      </xdr:txBody>
    </xdr:sp>
    <xdr:clientData/>
  </xdr:twoCellAnchor>
  <xdr:twoCellAnchor editAs="oneCell">
    <xdr:from>
      <xdr:col>18</xdr:col>
      <xdr:colOff>358140</xdr:colOff>
      <xdr:row>11</xdr:row>
      <xdr:rowOff>83821</xdr:rowOff>
    </xdr:from>
    <xdr:to>
      <xdr:col>21</xdr:col>
      <xdr:colOff>358140</xdr:colOff>
      <xdr:row>18</xdr:row>
      <xdr:rowOff>45721</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6BFADD68-02F8-9584-50F6-BF182993FE9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330940" y="209550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365760</xdr:colOff>
      <xdr:row>19</xdr:row>
      <xdr:rowOff>60961</xdr:rowOff>
    </xdr:from>
    <xdr:to>
      <xdr:col>21</xdr:col>
      <xdr:colOff>365760</xdr:colOff>
      <xdr:row>26</xdr:row>
      <xdr:rowOff>7621</xdr:rowOff>
    </xdr:to>
    <mc:AlternateContent xmlns:mc="http://schemas.openxmlformats.org/markup-compatibility/2006">
      <mc:Choice xmlns:a14="http://schemas.microsoft.com/office/drawing/2010/main" Requires="a14">
        <xdr:graphicFrame macro="">
          <xdr:nvGraphicFramePr>
            <xdr:cNvPr id="20" name="Product">
              <a:extLst>
                <a:ext uri="{FF2B5EF4-FFF2-40B4-BE49-F238E27FC236}">
                  <a16:creationId xmlns:a16="http://schemas.microsoft.com/office/drawing/2014/main" id="{A874EEAC-BE4C-DEB7-B59F-EBBF3682641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338560" y="353568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358140</xdr:colOff>
      <xdr:row>3</xdr:row>
      <xdr:rowOff>0</xdr:rowOff>
    </xdr:from>
    <xdr:to>
      <xdr:col>21</xdr:col>
      <xdr:colOff>358140</xdr:colOff>
      <xdr:row>11</xdr:row>
      <xdr:rowOff>22860</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F9EC3D55-6CB9-A5B1-39DB-F088836E31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330940" y="548640"/>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198120</xdr:colOff>
      <xdr:row>0</xdr:row>
      <xdr:rowOff>30480</xdr:rowOff>
    </xdr:from>
    <xdr:to>
      <xdr:col>21</xdr:col>
      <xdr:colOff>342900</xdr:colOff>
      <xdr:row>2</xdr:row>
      <xdr:rowOff>15240</xdr:rowOff>
    </xdr:to>
    <xdr:sp macro="" textlink="">
      <xdr:nvSpPr>
        <xdr:cNvPr id="22" name="TextBox 21">
          <a:extLst>
            <a:ext uri="{FF2B5EF4-FFF2-40B4-BE49-F238E27FC236}">
              <a16:creationId xmlns:a16="http://schemas.microsoft.com/office/drawing/2014/main" id="{882629BD-2CEA-F0F2-E6E8-954F299CC033}"/>
            </a:ext>
          </a:extLst>
        </xdr:cNvPr>
        <xdr:cNvSpPr txBox="1"/>
      </xdr:nvSpPr>
      <xdr:spPr>
        <a:xfrm>
          <a:off x="807720" y="30480"/>
          <a:ext cx="12336780" cy="3505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1"/>
            <a:t>Retail Sales Performance Dashboard – 2025</a:t>
          </a:r>
        </a:p>
      </xdr:txBody>
    </xdr:sp>
    <xdr:clientData/>
  </xdr:twoCellAnchor>
  <xdr:twoCellAnchor editAs="oneCell">
    <xdr:from>
      <xdr:col>12</xdr:col>
      <xdr:colOff>228600</xdr:colOff>
      <xdr:row>8</xdr:row>
      <xdr:rowOff>137160</xdr:rowOff>
    </xdr:from>
    <xdr:to>
      <xdr:col>18</xdr:col>
      <xdr:colOff>190500</xdr:colOff>
      <xdr:row>16</xdr:row>
      <xdr:rowOff>38100</xdr:rowOff>
    </xdr:to>
    <mc:AlternateContent xmlns:mc="http://schemas.openxmlformats.org/markup-compatibility/2006">
      <mc:Choice xmlns:tsle="http://schemas.microsoft.com/office/drawing/2012/timeslicer" Requires="tsle">
        <xdr:graphicFrame macro="">
          <xdr:nvGraphicFramePr>
            <xdr:cNvPr id="23" name="Order_Date">
              <a:extLst>
                <a:ext uri="{FF2B5EF4-FFF2-40B4-BE49-F238E27FC236}">
                  <a16:creationId xmlns:a16="http://schemas.microsoft.com/office/drawing/2014/main" id="{7CFA5FDD-37A7-0FD2-FCB3-D984E738519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7543800" y="1600200"/>
              <a:ext cx="3619500" cy="1363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18</xdr:col>
      <xdr:colOff>396240</xdr:colOff>
      <xdr:row>27</xdr:row>
      <xdr:rowOff>30480</xdr:rowOff>
    </xdr:from>
    <xdr:to>
      <xdr:col>21</xdr:col>
      <xdr:colOff>426720</xdr:colOff>
      <xdr:row>47</xdr:row>
      <xdr:rowOff>137160</xdr:rowOff>
    </xdr:to>
    <xdr:sp macro="" textlink="">
      <xdr:nvSpPr>
        <xdr:cNvPr id="24" name="TextBox 23">
          <a:extLst>
            <a:ext uri="{FF2B5EF4-FFF2-40B4-BE49-F238E27FC236}">
              <a16:creationId xmlns:a16="http://schemas.microsoft.com/office/drawing/2014/main" id="{CFA82505-39C0-D772-D2FC-5361C5209313}"/>
            </a:ext>
          </a:extLst>
        </xdr:cNvPr>
        <xdr:cNvSpPr txBox="1"/>
      </xdr:nvSpPr>
      <xdr:spPr>
        <a:xfrm>
          <a:off x="11369040" y="4968240"/>
          <a:ext cx="1859280" cy="3764280"/>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KEY INSIGHTS                   1. The company is operating at a </a:t>
          </a:r>
          <a:r>
            <a:rPr lang="en-IN" b="1"/>
            <a:t>healthy 20% margin</a:t>
          </a:r>
          <a:r>
            <a:rPr lang="en-IN"/>
            <a:t>, which is strong for retail.</a:t>
          </a:r>
          <a:br>
            <a:rPr lang="en-IN"/>
          </a:br>
          <a:r>
            <a:rPr lang="en-IN"/>
            <a:t>This indicates good cost control and pricing strategy. 2. The company has achieved only </a:t>
          </a:r>
          <a:r>
            <a:rPr lang="en-IN" b="1"/>
            <a:t>61% of its sales target</a:t>
          </a:r>
          <a:r>
            <a:rPr lang="en-IN"/>
            <a:t>, meaning:</a:t>
          </a:r>
        </a:p>
        <a:p>
          <a:r>
            <a:rPr lang="en-IN"/>
            <a:t>- Revenue is below expected performance</a:t>
          </a:r>
        </a:p>
        <a:p>
          <a:r>
            <a:rPr lang="en-IN"/>
            <a:t>- Immediate strategy adjustment may be needed</a:t>
          </a:r>
        </a:p>
        <a:p>
          <a:r>
            <a:rPr lang="en-IN"/>
            <a:t>-Sales push required in upcoming months</a:t>
          </a:r>
        </a:p>
        <a:p>
          <a:r>
            <a:rPr lang="en-IN"/>
            <a:t>3. North region is the strongest revenue contributor.</a:t>
          </a:r>
          <a:br>
            <a:rPr lang="en-IN"/>
          </a:br>
          <a:r>
            <a:rPr lang="en-IN"/>
            <a:t>4.</a:t>
          </a:r>
          <a:r>
            <a:rPr lang="en-IN" baseline="0"/>
            <a:t> </a:t>
          </a:r>
          <a:r>
            <a:rPr lang="en-IN"/>
            <a:t>Revenue is diversified.</a:t>
          </a:r>
          <a:br>
            <a:rPr lang="en-IN"/>
          </a:br>
          <a:r>
            <a:rPr lang="en-IN"/>
            <a:t>Business is not dependent on one category.</a:t>
          </a:r>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3.547942013887" backgroundQuery="1" createdVersion="8" refreshedVersion="8" minRefreshableVersion="3" recordCount="0" supportSubquery="1" supportAdvancedDrill="1" xr:uid="{B6B9CCB5-F804-43DD-90B6-D09816528C31}">
  <cacheSource type="external" connectionId="1"/>
  <cacheFields count="4">
    <cacheField name="[Measures].[Sum of Sales]" caption="Sum of Sales" numFmtId="0" hierarchy="15" level="32767"/>
    <cacheField name="[Sales_Data].[Month].[Month]" caption="Month" numFmtId="0" hierarchy="3" level="1">
      <sharedItems count="12">
        <s v="Apr"/>
        <s v="Aug"/>
        <s v="Dec"/>
        <s v="Feb"/>
        <s v="Jan"/>
        <s v="Jul"/>
        <s v="Jun"/>
        <s v="Mar"/>
        <s v="May"/>
        <s v="Nov"/>
        <s v="Oct"/>
        <s v="Sep"/>
      </sharedItems>
    </cacheField>
    <cacheField name="[Sales_Data].[Region].[Region]" caption="Region" numFmtId="0" hierarchy="4" level="1">
      <sharedItems count="4">
        <s v="East"/>
        <s v="North"/>
        <s v="South"/>
        <s v="West"/>
      </sharedItems>
    </cacheField>
    <cacheField name="[Sales_Data].[Product].[Product]" caption="Product" numFmtId="0" hierarchy="8" level="1">
      <sharedItems containsSemiMixedTypes="0" containsNonDate="0" containsString="0"/>
    </cacheField>
  </cacheFields>
  <cacheHierarchies count="18">
    <cacheHierarchy uniqueName="[Sales_Data].[Order_ID]" caption="Order_ID" attribute="1" defaultMemberUniqueName="[Sales_Data].[Order_ID].[All]" allUniqueName="[Sales_Data].[Order_ID].[All]" dimensionUniqueName="[Sales_Data]" displayFolder="" count="0" memberValueDatatype="2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_Rep]" caption="Sales_Rep" attribute="1" defaultMemberUniqueName="[Sales_Data].[Sales_Rep].[All]" allUniqueName="[Sales_Data].[Sales_Rep].[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3"/>
      </fieldsUsage>
    </cacheHierarchy>
    <cacheHierarchy uniqueName="[Sales_Data].[Sales]" caption="Sales" attribute="1" defaultMemberUniqueName="[Sales_Data].[Sales].[All]" allUniqueName="[Sales_Data].[Sales].[All]" dimensionUniqueName="[Sales_Data]" displayFolder="" count="0" memberValueDatatype="20"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Units]" caption="Units" attribute="1" defaultMemberUniqueName="[Sales_Data].[Units].[All]" allUniqueName="[Sales_Data].[Units].[All]" dimensionUniqueName="[Sales_Data]" displayFolder="" count="0" memberValueDatatype="2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Sales_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3.547942592595" backgroundQuery="1" createdVersion="8" refreshedVersion="8" minRefreshableVersion="3" recordCount="0" supportSubquery="1" supportAdvancedDrill="1" xr:uid="{8EAE1D25-C2C7-4C89-91CB-943AA14D3273}">
  <cacheSource type="external" connectionId="1"/>
  <cacheFields count="3">
    <cacheField name="[Sales_Data].[Month].[Month]" caption="Month" numFmtId="0" hierarchy="3" level="1">
      <sharedItems count="12">
        <s v="Apr"/>
        <s v="Aug"/>
        <s v="Dec"/>
        <s v="Feb"/>
        <s v="Jan"/>
        <s v="Jul"/>
        <s v="Jun"/>
        <s v="Mar"/>
        <s v="May"/>
        <s v="Nov"/>
        <s v="Oct"/>
        <s v="Sep"/>
      </sharedItems>
    </cacheField>
    <cacheField name="[Measures].[Sum of Sales]" caption="Sum of Sales" numFmtId="0" hierarchy="15" level="32767"/>
    <cacheField name="[Sales_Data].[Product].[Product]" caption="Product" numFmtId="0" hierarchy="8" level="1">
      <sharedItems containsSemiMixedTypes="0" containsNonDate="0" containsString="0"/>
    </cacheField>
  </cacheFields>
  <cacheHierarchies count="18">
    <cacheHierarchy uniqueName="[Sales_Data].[Order_ID]" caption="Order_ID" attribute="1" defaultMemberUniqueName="[Sales_Data].[Order_ID].[All]" allUniqueName="[Sales_Data].[Order_ID].[All]" dimensionUniqueName="[Sales_Data]" displayFolder="" count="0" memberValueDatatype="2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_Rep]" caption="Sales_Rep" attribute="1" defaultMemberUniqueName="[Sales_Data].[Sales_Rep].[All]" allUniqueName="[Sales_Data].[Sales_Rep].[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Sales]" caption="Sales" attribute="1" defaultMemberUniqueName="[Sales_Data].[Sales].[All]" allUniqueName="[Sales_Data].[Sales].[All]" dimensionUniqueName="[Sales_Data]" displayFolder="" count="0" memberValueDatatype="20"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Units]" caption="Units" attribute="1" defaultMemberUniqueName="[Sales_Data].[Units].[All]" allUniqueName="[Sales_Data].[Units].[All]" dimensionUniqueName="[Sales_Data]" displayFolder="" count="0" memberValueDatatype="2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Sales_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3.547942939818" backgroundQuery="1" createdVersion="8" refreshedVersion="8" minRefreshableVersion="3" recordCount="0" supportSubquery="1" supportAdvancedDrill="1" xr:uid="{50E95B5D-0990-4D7E-9382-2BFB7376F39C}">
  <cacheSource type="external" connectionId="1"/>
  <cacheFields count="2">
    <cacheField name="[Sales_Data].[Product].[Product]" caption="Product" numFmtId="0" hierarchy="8" level="1">
      <sharedItems count="3">
        <s v="Laptop"/>
        <s v="Printer"/>
        <s v="Table"/>
      </sharedItems>
    </cacheField>
    <cacheField name="[Measures].[Sum of Sales]" caption="Sum of Sales" numFmtId="0" hierarchy="15" level="32767"/>
  </cacheFields>
  <cacheHierarchies count="18">
    <cacheHierarchy uniqueName="[Sales_Data].[Order_ID]" caption="Order_ID" attribute="1" defaultMemberUniqueName="[Sales_Data].[Order_ID].[All]" allUniqueName="[Sales_Data].[Order_ID].[All]" dimensionUniqueName="[Sales_Data]" displayFolder="" count="2" memberValueDatatype="2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Year]" caption="Year" attribute="1" defaultMemberUniqueName="[Sales_Data].[Year].[All]" allUniqueName="[Sales_Data].[Year].[All]" dimensionUniqueName="[Sales_Data]" displayFolder="" count="2" memberValueDatatype="20" unbalanced="0"/>
    <cacheHierarchy uniqueName="[Sales_Data].[Month]" caption="Month" attribute="1" defaultMemberUniqueName="[Sales_Data].[Month].[All]" allUniqueName="[Sales_Data].[Month].[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_Rep]" caption="Sales_Rep" attribute="1" defaultMemberUniqueName="[Sales_Data].[Sales_Rep].[All]" allUniqueName="[Sales_Data].[Sales_Rep].[All]" dimensionUniqueName="[Sales_Data]" displayFolder="" count="2"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Sales]" caption="Sales" attribute="1" defaultMemberUniqueName="[Sales_Data].[Sales].[All]" allUniqueName="[Sales_Data].[Sales].[All]" dimensionUniqueName="[Sales_Data]" displayFolder="" count="2" memberValueDatatype="20" unbalanced="0"/>
    <cacheHierarchy uniqueName="[Sales_Data].[Cost]" caption="Cost" attribute="1" defaultMemberUniqueName="[Sales_Data].[Cost].[All]" allUniqueName="[Sales_Data].[Cost].[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Sales_Data].[Units]" caption="Units" attribute="1" defaultMemberUniqueName="[Sales_Data].[Units].[All]" allUniqueName="[Sales_Data].[Units].[All]" dimensionUniqueName="[Sales_Data]" displayFolder="" count="2" memberValueDatatype="2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Sales_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3.547943518519" backgroundQuery="1" createdVersion="8" refreshedVersion="8" minRefreshableVersion="3" recordCount="0" supportSubquery="1" supportAdvancedDrill="1" xr:uid="{557FF28B-6B8D-4B27-8ED5-33015AE53158}">
  <cacheSource type="external" connectionId="1"/>
  <cacheFields count="3">
    <cacheField name="[Sales_Data].[Category].[Category]" caption="Category" numFmtId="0" hierarchy="7" level="1">
      <sharedItems count="3">
        <s v=" Furniture"/>
        <s v=" Office Supplies"/>
        <s v="Electronics"/>
      </sharedItems>
    </cacheField>
    <cacheField name="[Measures].[Sum of Sales]" caption="Sum of Sales" numFmtId="0" hierarchy="15" level="32767"/>
    <cacheField name="[Sales_Data].[Product].[Product]" caption="Product" numFmtId="0" hierarchy="8" level="1">
      <sharedItems containsSemiMixedTypes="0" containsNonDate="0" containsString="0"/>
    </cacheField>
  </cacheFields>
  <cacheHierarchies count="18">
    <cacheHierarchy uniqueName="[Sales_Data].[Order_ID]" caption="Order_ID" attribute="1" defaultMemberUniqueName="[Sales_Data].[Order_ID].[All]" allUniqueName="[Sales_Data].[Order_ID].[All]" dimensionUniqueName="[Sales_Data]" displayFolder="" count="0" memberValueDatatype="2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_Rep]" caption="Sales_Rep" attribute="1" defaultMemberUniqueName="[Sales_Data].[Sales_Rep].[All]" allUniqueName="[Sales_Data].[Sales_Rep].[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Sales]" caption="Sales" attribute="1" defaultMemberUniqueName="[Sales_Data].[Sales].[All]" allUniqueName="[Sales_Data].[Sales].[All]" dimensionUniqueName="[Sales_Data]" displayFolder="" count="0" memberValueDatatype="20"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Units]" caption="Units" attribute="1" defaultMemberUniqueName="[Sales_Data].[Units].[All]" allUniqueName="[Sales_Data].[Units].[All]" dimensionUniqueName="[Sales_Data]" displayFolder="" count="0" memberValueDatatype="2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Sales_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3.547943981481" backgroundQuery="1" createdVersion="8" refreshedVersion="8" minRefreshableVersion="3" recordCount="0" supportSubquery="1" supportAdvancedDrill="1" xr:uid="{403794EE-54C1-4C16-899F-18F83CA0EFD6}">
  <cacheSource type="external" connectionId="1"/>
  <cacheFields count="3">
    <cacheField name="[Measures].[Sum of Sales]" caption="Sum of Sales" numFmtId="0" hierarchy="15" level="32767"/>
    <cacheField name="[Sales_Data].[Product].[Product]" caption="Product" numFmtId="0" hierarchy="8" level="1">
      <sharedItems count="3">
        <s v="Laptop"/>
        <s v="Printer"/>
        <s v="Table"/>
      </sharedItems>
    </cacheField>
    <cacheField name="[Measures].[Sum of Profit]" caption="Sum of Profit" numFmtId="0" hierarchy="17" level="32767"/>
  </cacheFields>
  <cacheHierarchies count="18">
    <cacheHierarchy uniqueName="[Sales_Data].[Order_ID]" caption="Order_ID" attribute="1" defaultMemberUniqueName="[Sales_Data].[Order_ID].[All]" allUniqueName="[Sales_Data].[Order_ID].[All]" dimensionUniqueName="[Sales_Data]" displayFolder="" count="0" memberValueDatatype="2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_Rep]" caption="Sales_Rep" attribute="1" defaultMemberUniqueName="[Sales_Data].[Sales_Rep].[All]" allUniqueName="[Sales_Data].[Sales_Rep].[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Sales]" caption="Sales" attribute="1" defaultMemberUniqueName="[Sales_Data].[Sales].[All]" allUniqueName="[Sales_Data].[Sales].[All]" dimensionUniqueName="[Sales_Data]" displayFolder="" count="0" memberValueDatatype="20"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Units]" caption="Units" attribute="1" defaultMemberUniqueName="[Sales_Data].[Units].[All]" allUniqueName="[Sales_Data].[Units].[All]" dimensionUniqueName="[Sales_Data]" displayFolder="" count="0" memberValueDatatype="2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Sales_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3.529167476852" backgroundQuery="1" createdVersion="3" refreshedVersion="8" minRefreshableVersion="3" recordCount="0" supportSubquery="1" supportAdvancedDrill="1" xr:uid="{06F10A22-F78D-4854-A574-DAE395EBF88D}">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Measures]" caption="Measures" attribute="1" keyAttribute="1" defaultMemberUniqueName="[Measures].[__No measures defined]" dimensionUniqueName="[Measures]" displayFolder="" measures="1" count="1" memberValueDatatype="130" unbalanced="0"/>
    <cacheHierarchy uniqueName="[Sales_Data].[Order_ID]" caption="Order_ID" attribute="1" defaultMemberUniqueName="[Sales_Data].[Order_ID].[All]" allUniqueName="[Sales_Data].[Order_ID].[All]" dimensionUniqueName="[Sales_Data]" displayFolder="" count="2" memberValueDatatype="2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Year]" caption="Year" attribute="1" defaultMemberUniqueName="[Sales_Data].[Year].[All]" allUniqueName="[Sales_Data].[Year].[All]" dimensionUniqueName="[Sales_Data]" displayFolder="" count="2" memberValueDatatype="20" unbalanced="0"/>
    <cacheHierarchy uniqueName="[Sales_Data].[Month]" caption="Month" attribute="1" defaultMemberUniqueName="[Sales_Data].[Month].[All]" allUniqueName="[Sales_Data].[Month].[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_Rep]" caption="Sales_Rep" attribute="1" defaultMemberUniqueName="[Sales_Data].[Sales_Rep].[All]" allUniqueName="[Sales_Data].[Sales_Rep].[All]" dimensionUniqueName="[Sales_Data]" displayFolder="" count="2"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Sales]" caption="Sales" attribute="1" defaultMemberUniqueName="[Sales_Data].[Sales].[All]" allUniqueName="[Sales_Data].[Sales].[All]" dimensionUniqueName="[Sales_Data]" displayFolder="" count="2" memberValueDatatype="20" unbalanced="0"/>
    <cacheHierarchy uniqueName="[Sales_Data].[Cost]" caption="Cost" attribute="1" defaultMemberUniqueName="[Sales_Data].[Cost].[All]" allUniqueName="[Sales_Data].[Cost].[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Sales_Data].[Units]" caption="Units" attribute="1" defaultMemberUniqueName="[Sales_Data].[Units].[All]" allUniqueName="[Sales_Data].[Units].[All]" dimensionUniqueName="[Sales_Data]" displayFolder="" count="2" memberValueDatatype="2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Sales_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licerData="1" pivotCacheId="998644981"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3.539589583335" backgroundQuery="1" createdVersion="3" refreshedVersion="8" minRefreshableVersion="3" recordCount="0" supportSubquery="1" supportAdvancedDrill="1" xr:uid="{0A3BBDD4-CB20-4F9F-AE78-74ADC96CF6B0}">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Measures]" caption="Measures" attribute="1" keyAttribute="1" defaultMemberUniqueName="[Measures].[__No measures defined]" dimensionUniqueName="[Measures]" displayFolder="" measures="1" count="1" memberValueDatatype="130" unbalanced="0"/>
    <cacheHierarchy uniqueName="[Sales_Data].[Order_ID]" caption="Order_ID" attribute="1" defaultMemberUniqueName="[Sales_Data].[Order_ID].[All]" allUniqueName="[Sales_Data].[Order_ID].[All]" dimensionUniqueName="[Sales_Data]" displayFolder="" count="2" memberValueDatatype="2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Year]" caption="Year" attribute="1" defaultMemberUniqueName="[Sales_Data].[Year].[All]" allUniqueName="[Sales_Data].[Year].[All]" dimensionUniqueName="[Sales_Data]" displayFolder="" count="2" memberValueDatatype="20" unbalanced="0"/>
    <cacheHierarchy uniqueName="[Sales_Data].[Month]" caption="Month" attribute="1" defaultMemberUniqueName="[Sales_Data].[Month].[All]" allUniqueName="[Sales_Data].[Month].[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_Rep]" caption="Sales_Rep" attribute="1" defaultMemberUniqueName="[Sales_Data].[Sales_Rep].[All]" allUniqueName="[Sales_Data].[Sales_Rep].[All]" dimensionUniqueName="[Sales_Data]" displayFolder="" count="2"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Sales]" caption="Sales" attribute="1" defaultMemberUniqueName="[Sales_Data].[Sales].[All]" allUniqueName="[Sales_Data].[Sales].[All]" dimensionUniqueName="[Sales_Data]" displayFolder="" count="2" memberValueDatatype="20" unbalanced="0"/>
    <cacheHierarchy uniqueName="[Sales_Data].[Cost]" caption="Cost" attribute="1" defaultMemberUniqueName="[Sales_Data].[Cost].[All]" allUniqueName="[Sales_Data].[Cost].[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Sales_Data].[Units]" caption="Units" attribute="1" defaultMemberUniqueName="[Sales_Data].[Units].[All]" allUniqueName="[Sales_Data].[Units].[All]" dimensionUniqueName="[Sales_Data]" displayFolder="" count="2" memberValueDatatype="2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Sales_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pivotCacheId="17835717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758D75-0129-4071-9413-F00993775473}" name="PivotTable5" cacheId="4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D20:F24" firstHeaderRow="0"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4">
    <i>
      <x v="2"/>
    </i>
    <i>
      <x v="1"/>
    </i>
    <i>
      <x/>
    </i>
    <i t="grand">
      <x/>
    </i>
  </rowItems>
  <colFields count="1">
    <field x="-2"/>
  </colFields>
  <colItems count="2">
    <i>
      <x/>
    </i>
    <i i="1">
      <x v="1"/>
    </i>
  </colItems>
  <dataFields count="2">
    <dataField name="Sum of Sales" fld="0" baseField="0" baseItem="0"/>
    <dataField name="Sum of Profit" fld="2" baseField="0" baseItem="0"/>
  </dataFields>
  <formats count="6">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outline="0" fieldPosition="0">
        <references count="1">
          <reference field="4294967294" count="2">
            <x v="0"/>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18">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0655AC-2635-4A24-A98E-1373CD93420F}" name="PivotTable4" cacheId="4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D12:E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formats count="6">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s>
  <pivotHierarchies count="18">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F99B33-355F-49FA-BCFE-AFD5E627653F}" name="PivotTable3" cacheId="4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4:E8"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formats count="6">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03A6B1-DF96-447E-BFF8-525C01741148}" name="PivotTable2" cacheId="40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2:B2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6">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2" format="6">
      <pivotArea type="data" outline="0" fieldPosition="0">
        <references count="2">
          <reference field="4294967294" count="1" selected="0">
            <x v="0"/>
          </reference>
          <reference field="0" count="1" selected="0">
            <x v="5"/>
          </reference>
        </references>
      </pivotArea>
    </chartFormat>
    <chartFormat chart="2" format="7">
      <pivotArea type="data" outline="0" fieldPosition="0">
        <references count="2">
          <reference field="4294967294" count="1" selected="0">
            <x v="0"/>
          </reference>
          <reference field="0" count="1" selected="0">
            <x v="6"/>
          </reference>
        </references>
      </pivotArea>
    </chartFormat>
    <chartFormat chart="2" format="8">
      <pivotArea type="data" outline="0" fieldPosition="0">
        <references count="2">
          <reference field="4294967294" count="1" selected="0">
            <x v="0"/>
          </reference>
          <reference field="0" count="1" selected="0">
            <x v="7"/>
          </reference>
        </references>
      </pivotArea>
    </chartFormat>
    <chartFormat chart="2" format="9">
      <pivotArea type="data" outline="0" fieldPosition="0">
        <references count="2">
          <reference field="4294967294" count="1" selected="0">
            <x v="0"/>
          </reference>
          <reference field="0" count="1" selected="0">
            <x v="8"/>
          </reference>
        </references>
      </pivotArea>
    </chartFormat>
    <chartFormat chart="2" format="10">
      <pivotArea type="data" outline="0" fieldPosition="0">
        <references count="2">
          <reference field="4294967294" count="1" selected="0">
            <x v="0"/>
          </reference>
          <reference field="0" count="1" selected="0">
            <x v="9"/>
          </reference>
        </references>
      </pivotArea>
    </chartFormat>
    <chartFormat chart="2" format="11">
      <pivotArea type="data" outline="0" fieldPosition="0">
        <references count="2">
          <reference field="4294967294" count="1" selected="0">
            <x v="0"/>
          </reference>
          <reference field="0" count="1" selected="0">
            <x v="11"/>
          </reference>
        </references>
      </pivotArea>
    </chartFormat>
    <chartFormat chart="2" format="12">
      <pivotArea type="data" outline="0" fieldPosition="0">
        <references count="2">
          <reference field="4294967294" count="1" selected="0">
            <x v="0"/>
          </reference>
          <reference field="0" count="1" selected="0">
            <x v="10"/>
          </reference>
        </references>
      </pivotArea>
    </chartFormat>
  </chartFormats>
  <pivotHierarchies count="18">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CF9F70-6CAD-42AE-9297-551AB0059EDE}" name="PivotTable1" cacheId="40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 fld="0" baseField="0" baseItem="0"/>
  </dataFields>
  <formats count="6">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8E3AD9-5F35-42C1-8E71-88273321AB44}" sourceName="[Sales_Data].[Category]">
  <pivotTables>
    <pivotTable tabId="3" name="PivotTable1"/>
    <pivotTable tabId="3" name="PivotTable2"/>
    <pivotTable tabId="3" name="PivotTable3"/>
    <pivotTable tabId="3" name="PivotTable4"/>
    <pivotTable tabId="3" name="PivotTable5"/>
  </pivotTables>
  <data>
    <olap pivotCacheId="998644981">
      <levels count="2">
        <level uniqueName="[Sales_Data].[Category].[(All)]" sourceCaption="(All)" count="0"/>
        <level uniqueName="[Sales_Data].[Category].[Category]" sourceCaption="Category" count="3">
          <ranges>
            <range startItem="0">
              <i n="[Sales_Data].[Category].&amp;[ Furniture]" c=" Furniture"/>
              <i n="[Sales_Data].[Category].&amp;[ Office Supplies]" c=" Office Supplies"/>
              <i n="[Sales_Data].[Category].&amp;[Electronics]" c="Electronics"/>
            </range>
          </ranges>
        </level>
      </levels>
      <selections count="1">
        <selection n="[Sales_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B8214C9-A885-4E4C-9658-7FB03C96BE1A}" sourceName="[Sales_Data].[Product]">
  <pivotTables>
    <pivotTable tabId="3" name="PivotTable1"/>
    <pivotTable tabId="3" name="PivotTable2"/>
    <pivotTable tabId="3" name="PivotTable3"/>
    <pivotTable tabId="3" name="PivotTable4"/>
    <pivotTable tabId="3" name="PivotTable5"/>
  </pivotTables>
  <data>
    <olap pivotCacheId="998644981">
      <levels count="2">
        <level uniqueName="[Sales_Data].[Product].[(All)]" sourceCaption="(All)" count="0"/>
        <level uniqueName="[Sales_Data].[Product].[Product]" sourceCaption="Product" count="3">
          <ranges>
            <range startItem="0">
              <i n="[Sales_Data].[Product].&amp;[Laptop]" c="Laptop"/>
              <i n="[Sales_Data].[Product].&amp;[Printer]" c="Printer"/>
              <i n="[Sales_Data].[Product].&amp;[Table]" c="Table"/>
            </range>
          </ranges>
        </level>
      </levels>
      <selections count="1">
        <selection n="[Sales_Data].[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37FF14-3AA0-46E9-890C-8109E799456C}" sourceName="[Sales_Data].[Region]">
  <pivotTables>
    <pivotTable tabId="3" name="PivotTable1"/>
    <pivotTable tabId="3" name="PivotTable2"/>
    <pivotTable tabId="3" name="PivotTable3"/>
    <pivotTable tabId="3" name="PivotTable4"/>
    <pivotTable tabId="3" name="PivotTable5"/>
  </pivotTables>
  <data>
    <olap pivotCacheId="998644981">
      <levels count="2">
        <level uniqueName="[Sales_Data].[Region].[(All)]" sourceCaption="(All)" count="0"/>
        <level uniqueName="[Sales_Data].[Region].[Region]" sourceCaption="Region" count="4">
          <ranges>
            <range startItem="0">
              <i n="[Sales_Data].[Region].&amp;[East]" c="East"/>
              <i n="[Sales_Data].[Region].&amp;[North]" c="North"/>
              <i n="[Sales_Data].[Region].&amp;[South]" c="South"/>
              <i n="[Sales_Data].[Region].&amp;[West]" c="West"/>
            </range>
          </ranges>
        </level>
      </levels>
      <selections count="1">
        <selection n="[Sales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A8D0ABD-0510-4749-AC8B-E0336CAC3DB5}" cache="Slicer_Category" caption="Category" level="1" rowHeight="234950"/>
  <slicer name="Product" xr10:uid="{ED8163C4-A93D-4FD8-987F-7B044917DE82}" cache="Slicer_Product" caption="Product" level="1" rowHeight="234950"/>
  <slicer name="Region" xr10:uid="{2D630EE4-6C25-4FD3-8BB9-75C06FA7BFEA}" cache="Slicer_Region" caption="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7C995B-2971-42C7-A55F-63E29EB1BA39}" name="Sales_Data" displayName="Sales_Data" ref="A1:M101" totalsRowShown="0">
  <autoFilter ref="A1:M101" xr:uid="{397C995B-2971-42C7-A55F-63E29EB1BA39}"/>
  <tableColumns count="13">
    <tableColumn id="2" xr3:uid="{9104424D-0E4F-41A2-8332-28BDD045F29B}" name=" Order_ID "/>
    <tableColumn id="3" xr3:uid="{4980B6F8-1C50-4353-9E2A-857E7280FE78}" name=" Order_Date " dataDxfId="42"/>
    <tableColumn id="4" xr3:uid="{FEF86E3E-4326-4A64-91DC-AFEA550ECEC0}" name=" Year ">
      <calculatedColumnFormula>YEAR(B2)</calculatedColumnFormula>
    </tableColumn>
    <tableColumn id="5" xr3:uid="{6385192A-C6A3-4C54-B666-69E4B4DFCC13}" name=" Month " dataDxfId="41">
      <calculatedColumnFormula>TEXT(Sales_Data[[#This Row],[ Order_Date ]],"mmm")</calculatedColumnFormula>
    </tableColumn>
    <tableColumn id="6" xr3:uid="{389FBE49-7B94-4DEE-889B-BA19AE81215E}" name=" Region "/>
    <tableColumn id="7" xr3:uid="{518D6F87-38E6-47C3-BFB7-0EEDEA30EE29}" name=" Sales_Rep " dataDxfId="40"/>
    <tableColumn id="8" xr3:uid="{414884C5-4A54-402B-A98F-DEA00EF42465}" name=" Segment "/>
    <tableColumn id="9" xr3:uid="{02201434-866A-450F-8773-80AC9F680733}" name=" Category "/>
    <tableColumn id="10" xr3:uid="{B369E59F-EDC4-4B91-B848-D1D0B4DA5204}" name=" Product "/>
    <tableColumn id="11" xr3:uid="{88233F2F-D01B-4B2F-822E-951C040EB9EA}" name=" Sales "/>
    <tableColumn id="12" xr3:uid="{73A81002-E52F-4296-BC8E-94DFFC498024}" name=" Cost ">
      <calculatedColumnFormula>J2*80/100</calculatedColumnFormula>
    </tableColumn>
    <tableColumn id="13" xr3:uid="{C20A0BBF-FCC5-4AF7-8F65-E4F1A541A004}" name=" Profit ">
      <calculatedColumnFormula>J2-K2</calculatedColumnFormula>
    </tableColumn>
    <tableColumn id="14" xr3:uid="{28AD44D8-2D7B-47CA-89EF-1CA8E74ADE25}" name=" Unit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C94C9FE-9BE1-41CE-A53E-8890D460E59E}" sourceName="[Sales_Data].[Order_Date]">
  <pivotTables>
    <pivotTable tabId="3" name="PivotTable1"/>
    <pivotTable tabId="3" name="PivotTable2"/>
    <pivotTable tabId="3" name="PivotTable3"/>
    <pivotTable tabId="3" name="PivotTable4"/>
    <pivotTable tabId="3" name="PivotTable5"/>
  </pivotTables>
  <state minimalRefreshVersion="6" lastRefreshVersion="6" pivotCacheId="1783571758"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0A583B2-50EB-4832-B9F6-9CB4B4962D10}" cache="Timeline_Order_Date" caption="Order_Date" level="2" selectionLevel="2" scrollPosition="2025-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7968F-D861-4564-91EA-FC4553B1EE3E}">
  <dimension ref="A1:A3"/>
  <sheetViews>
    <sheetView showGridLines="0" zoomScaleNormal="100" workbookViewId="0">
      <selection activeCell="W45" sqref="W45"/>
    </sheetView>
  </sheetViews>
  <sheetFormatPr defaultRowHeight="14.4" x14ac:dyDescent="0.3"/>
  <sheetData>
    <row r="1" customFormat="1" x14ac:dyDescent="0.3"/>
    <row r="2" customFormat="1" x14ac:dyDescent="0.3"/>
    <row r="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00A8F-EB26-4F3E-938A-25EE28055872}">
  <dimension ref="A1:M101"/>
  <sheetViews>
    <sheetView workbookViewId="0">
      <selection activeCell="H16" sqref="H16"/>
    </sheetView>
  </sheetViews>
  <sheetFormatPr defaultRowHeight="14.4" x14ac:dyDescent="0.3"/>
  <cols>
    <col min="1" max="1" width="11.33203125" customWidth="1"/>
    <col min="2" max="2" width="13.44140625" customWidth="1"/>
    <col min="4" max="5" width="9.5546875" customWidth="1"/>
    <col min="6" max="6" width="12.21875" customWidth="1"/>
    <col min="7" max="7" width="11.77734375" bestFit="1" customWidth="1"/>
    <col min="8" max="8" width="13.5546875" bestFit="1" customWidth="1"/>
    <col min="9" max="9" width="10.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1001</v>
      </c>
      <c r="B2" s="1">
        <v>45955</v>
      </c>
      <c r="C2">
        <f>YEAR(B2)</f>
        <v>2025</v>
      </c>
      <c r="D2" t="str">
        <f>TEXT(Sales_Data[[#This Row],[ Order_Date ]],"mmm")</f>
        <v>Oct</v>
      </c>
      <c r="E2" t="s">
        <v>13</v>
      </c>
      <c r="F2" s="2" t="s">
        <v>17</v>
      </c>
      <c r="G2" t="s">
        <v>117</v>
      </c>
      <c r="H2" t="s">
        <v>120</v>
      </c>
      <c r="I2" t="s">
        <v>123</v>
      </c>
      <c r="J2">
        <v>45416</v>
      </c>
      <c r="K2">
        <f>J2*80/100</f>
        <v>36332.800000000003</v>
      </c>
      <c r="L2">
        <f>J2-K2</f>
        <v>9083.1999999999971</v>
      </c>
      <c r="M2">
        <v>12</v>
      </c>
    </row>
    <row r="3" spans="1:13" x14ac:dyDescent="0.3">
      <c r="A3">
        <v>1001</v>
      </c>
      <c r="B3" s="1">
        <v>45680</v>
      </c>
      <c r="C3">
        <f t="shared" ref="C3:C66" si="0">YEAR(B3)</f>
        <v>2025</v>
      </c>
      <c r="D3" t="str">
        <f>TEXT(Sales_Data[[#This Row],[ Order_Date ]],"mmm")</f>
        <v>Jan</v>
      </c>
      <c r="E3" t="s">
        <v>14</v>
      </c>
      <c r="F3" s="2" t="s">
        <v>18</v>
      </c>
      <c r="G3" t="s">
        <v>118</v>
      </c>
      <c r="H3" t="s">
        <v>121</v>
      </c>
      <c r="I3" t="s">
        <v>124</v>
      </c>
      <c r="J3">
        <v>10802</v>
      </c>
      <c r="K3">
        <f t="shared" ref="K3:K66" si="1">J3*80/100</f>
        <v>8641.6</v>
      </c>
      <c r="L3">
        <f t="shared" ref="L3:L5" si="2">J3-K3</f>
        <v>2160.3999999999996</v>
      </c>
      <c r="M3">
        <v>30</v>
      </c>
    </row>
    <row r="4" spans="1:13" x14ac:dyDescent="0.3">
      <c r="A4">
        <v>1001</v>
      </c>
      <c r="B4" s="1">
        <v>45897</v>
      </c>
      <c r="C4">
        <f t="shared" si="0"/>
        <v>2025</v>
      </c>
      <c r="D4" t="str">
        <f>TEXT(Sales_Data[[#This Row],[ Order_Date ]],"mmm")</f>
        <v>Aug</v>
      </c>
      <c r="E4" t="s">
        <v>15</v>
      </c>
      <c r="F4" s="2" t="s">
        <v>19</v>
      </c>
      <c r="G4" t="s">
        <v>119</v>
      </c>
      <c r="H4" t="s">
        <v>122</v>
      </c>
      <c r="I4" t="s">
        <v>125</v>
      </c>
      <c r="J4">
        <v>43326</v>
      </c>
      <c r="K4">
        <f t="shared" si="1"/>
        <v>34660.800000000003</v>
      </c>
      <c r="L4">
        <f t="shared" si="2"/>
        <v>8665.1999999999971</v>
      </c>
      <c r="M4">
        <v>8</v>
      </c>
    </row>
    <row r="5" spans="1:13" x14ac:dyDescent="0.3">
      <c r="A5">
        <v>1001</v>
      </c>
      <c r="B5" s="1">
        <v>45825</v>
      </c>
      <c r="C5">
        <f t="shared" si="0"/>
        <v>2025</v>
      </c>
      <c r="D5" t="str">
        <f>TEXT(Sales_Data[[#This Row],[ Order_Date ]],"mmm")</f>
        <v>Jun</v>
      </c>
      <c r="E5" t="s">
        <v>16</v>
      </c>
      <c r="F5" s="2" t="s">
        <v>20</v>
      </c>
      <c r="G5" t="s">
        <v>117</v>
      </c>
      <c r="H5" t="s">
        <v>120</v>
      </c>
      <c r="I5" t="s">
        <v>123</v>
      </c>
      <c r="J5">
        <v>11142</v>
      </c>
      <c r="K5">
        <f t="shared" si="1"/>
        <v>8913.6</v>
      </c>
      <c r="L5">
        <f t="shared" si="2"/>
        <v>2228.3999999999996</v>
      </c>
      <c r="M5">
        <v>43</v>
      </c>
    </row>
    <row r="6" spans="1:13" x14ac:dyDescent="0.3">
      <c r="A6">
        <v>1001</v>
      </c>
      <c r="B6" s="1">
        <v>45734</v>
      </c>
      <c r="C6">
        <f t="shared" si="0"/>
        <v>2025</v>
      </c>
      <c r="D6" t="str">
        <f>TEXT(Sales_Data[[#This Row],[ Order_Date ]],"mmm")</f>
        <v>Mar</v>
      </c>
      <c r="E6" t="s">
        <v>13</v>
      </c>
      <c r="F6" s="2" t="s">
        <v>21</v>
      </c>
      <c r="G6" t="s">
        <v>118</v>
      </c>
      <c r="H6" t="s">
        <v>121</v>
      </c>
      <c r="I6" t="s">
        <v>124</v>
      </c>
      <c r="J6">
        <v>41500</v>
      </c>
      <c r="K6">
        <f t="shared" si="1"/>
        <v>33200</v>
      </c>
      <c r="L6">
        <f t="shared" ref="L6:L69" si="3">J6-K6</f>
        <v>8300</v>
      </c>
      <c r="M6">
        <v>6</v>
      </c>
    </row>
    <row r="7" spans="1:13" x14ac:dyDescent="0.3">
      <c r="A7">
        <v>1001</v>
      </c>
      <c r="B7" s="1">
        <v>45825</v>
      </c>
      <c r="C7">
        <f t="shared" si="0"/>
        <v>2025</v>
      </c>
      <c r="D7" t="str">
        <f>TEXT(Sales_Data[[#This Row],[ Order_Date ]],"mmm")</f>
        <v>Jun</v>
      </c>
      <c r="E7" t="s">
        <v>14</v>
      </c>
      <c r="F7" s="2" t="s">
        <v>22</v>
      </c>
      <c r="G7" t="s">
        <v>119</v>
      </c>
      <c r="H7" t="s">
        <v>122</v>
      </c>
      <c r="I7" t="s">
        <v>125</v>
      </c>
      <c r="J7">
        <v>22079</v>
      </c>
      <c r="K7">
        <f t="shared" si="1"/>
        <v>17663.2</v>
      </c>
      <c r="L7">
        <f t="shared" si="3"/>
        <v>4415.7999999999993</v>
      </c>
      <c r="M7">
        <v>23</v>
      </c>
    </row>
    <row r="8" spans="1:13" x14ac:dyDescent="0.3">
      <c r="A8">
        <v>1001</v>
      </c>
      <c r="B8" s="1">
        <v>45716</v>
      </c>
      <c r="C8">
        <f t="shared" si="0"/>
        <v>2025</v>
      </c>
      <c r="D8" t="str">
        <f>TEXT(Sales_Data[[#This Row],[ Order_Date ]],"mmm")</f>
        <v>Feb</v>
      </c>
      <c r="E8" t="s">
        <v>15</v>
      </c>
      <c r="F8" s="2" t="s">
        <v>23</v>
      </c>
      <c r="G8" t="s">
        <v>117</v>
      </c>
      <c r="H8" t="s">
        <v>120</v>
      </c>
      <c r="I8" t="s">
        <v>123</v>
      </c>
      <c r="J8">
        <v>34701</v>
      </c>
      <c r="K8">
        <f t="shared" si="1"/>
        <v>27760.799999999999</v>
      </c>
      <c r="L8">
        <f t="shared" si="3"/>
        <v>6940.2000000000007</v>
      </c>
      <c r="M8">
        <v>49</v>
      </c>
    </row>
    <row r="9" spans="1:13" x14ac:dyDescent="0.3">
      <c r="A9">
        <v>1001</v>
      </c>
      <c r="B9" s="1">
        <v>46000</v>
      </c>
      <c r="C9">
        <f t="shared" si="0"/>
        <v>2025</v>
      </c>
      <c r="D9" t="str">
        <f>TEXT(Sales_Data[[#This Row],[ Order_Date ]],"mmm")</f>
        <v>Dec</v>
      </c>
      <c r="E9" t="s">
        <v>16</v>
      </c>
      <c r="F9" s="2" t="s">
        <v>24</v>
      </c>
      <c r="G9" t="s">
        <v>118</v>
      </c>
      <c r="H9" t="s">
        <v>121</v>
      </c>
      <c r="I9" t="s">
        <v>124</v>
      </c>
      <c r="J9">
        <v>13007</v>
      </c>
      <c r="K9">
        <f t="shared" si="1"/>
        <v>10405.6</v>
      </c>
      <c r="L9">
        <f t="shared" si="3"/>
        <v>2601.3999999999996</v>
      </c>
      <c r="M9">
        <v>11</v>
      </c>
    </row>
    <row r="10" spans="1:13" x14ac:dyDescent="0.3">
      <c r="A10">
        <v>1001</v>
      </c>
      <c r="B10" s="1">
        <v>45817</v>
      </c>
      <c r="C10">
        <f t="shared" si="0"/>
        <v>2025</v>
      </c>
      <c r="D10" t="str">
        <f>TEXT(Sales_Data[[#This Row],[ Order_Date ]],"mmm")</f>
        <v>Jun</v>
      </c>
      <c r="E10" t="s">
        <v>13</v>
      </c>
      <c r="F10" s="2" t="s">
        <v>25</v>
      </c>
      <c r="G10" t="s">
        <v>119</v>
      </c>
      <c r="H10" t="s">
        <v>122</v>
      </c>
      <c r="I10" t="s">
        <v>125</v>
      </c>
      <c r="J10">
        <v>46346</v>
      </c>
      <c r="K10">
        <f t="shared" si="1"/>
        <v>37076.800000000003</v>
      </c>
      <c r="L10">
        <f t="shared" si="3"/>
        <v>9269.1999999999971</v>
      </c>
      <c r="M10">
        <v>32</v>
      </c>
    </row>
    <row r="11" spans="1:13" x14ac:dyDescent="0.3">
      <c r="A11">
        <v>1001</v>
      </c>
      <c r="B11" s="1">
        <v>45894</v>
      </c>
      <c r="C11">
        <f t="shared" si="0"/>
        <v>2025</v>
      </c>
      <c r="D11" t="str">
        <f>TEXT(Sales_Data[[#This Row],[ Order_Date ]],"mmm")</f>
        <v>Aug</v>
      </c>
      <c r="E11" t="s">
        <v>14</v>
      </c>
      <c r="F11" s="2" t="s">
        <v>26</v>
      </c>
      <c r="G11" t="s">
        <v>117</v>
      </c>
      <c r="H11" t="s">
        <v>120</v>
      </c>
      <c r="I11" t="s">
        <v>123</v>
      </c>
      <c r="J11">
        <v>33161</v>
      </c>
      <c r="K11">
        <f t="shared" si="1"/>
        <v>26528.799999999999</v>
      </c>
      <c r="L11">
        <f t="shared" si="3"/>
        <v>6632.2000000000007</v>
      </c>
      <c r="M11">
        <v>16</v>
      </c>
    </row>
    <row r="12" spans="1:13" x14ac:dyDescent="0.3">
      <c r="A12">
        <v>1001</v>
      </c>
      <c r="B12" s="1">
        <v>45879</v>
      </c>
      <c r="C12">
        <f t="shared" si="0"/>
        <v>2025</v>
      </c>
      <c r="D12" t="str">
        <f>TEXT(Sales_Data[[#This Row],[ Order_Date ]],"mmm")</f>
        <v>Aug</v>
      </c>
      <c r="E12" t="s">
        <v>15</v>
      </c>
      <c r="F12" s="2" t="s">
        <v>27</v>
      </c>
      <c r="G12" t="s">
        <v>118</v>
      </c>
      <c r="H12" t="s">
        <v>121</v>
      </c>
      <c r="I12" t="s">
        <v>124</v>
      </c>
      <c r="J12">
        <v>10937</v>
      </c>
      <c r="K12">
        <f t="shared" si="1"/>
        <v>8749.6</v>
      </c>
      <c r="L12">
        <f t="shared" si="3"/>
        <v>2187.3999999999996</v>
      </c>
      <c r="M12">
        <v>26</v>
      </c>
    </row>
    <row r="13" spans="1:13" x14ac:dyDescent="0.3">
      <c r="A13">
        <v>1001</v>
      </c>
      <c r="B13" s="1">
        <v>45806</v>
      </c>
      <c r="C13">
        <f t="shared" si="0"/>
        <v>2025</v>
      </c>
      <c r="D13" t="str">
        <f>TEXT(Sales_Data[[#This Row],[ Order_Date ]],"mmm")</f>
        <v>May</v>
      </c>
      <c r="E13" t="s">
        <v>16</v>
      </c>
      <c r="F13" s="2" t="s">
        <v>28</v>
      </c>
      <c r="G13" t="s">
        <v>119</v>
      </c>
      <c r="H13" t="s">
        <v>122</v>
      </c>
      <c r="I13" t="s">
        <v>125</v>
      </c>
      <c r="J13">
        <v>15846</v>
      </c>
      <c r="K13">
        <f t="shared" si="1"/>
        <v>12676.8</v>
      </c>
      <c r="L13">
        <f t="shared" si="3"/>
        <v>3169.2000000000007</v>
      </c>
      <c r="M13">
        <v>24</v>
      </c>
    </row>
    <row r="14" spans="1:13" x14ac:dyDescent="0.3">
      <c r="A14">
        <v>1001</v>
      </c>
      <c r="B14" s="1">
        <v>45786</v>
      </c>
      <c r="C14">
        <f t="shared" si="0"/>
        <v>2025</v>
      </c>
      <c r="D14" t="str">
        <f>TEXT(Sales_Data[[#This Row],[ Order_Date ]],"mmm")</f>
        <v>May</v>
      </c>
      <c r="E14" t="s">
        <v>13</v>
      </c>
      <c r="F14" s="2" t="s">
        <v>29</v>
      </c>
      <c r="G14" t="s">
        <v>117</v>
      </c>
      <c r="H14" t="s">
        <v>120</v>
      </c>
      <c r="I14" t="s">
        <v>123</v>
      </c>
      <c r="J14">
        <v>16443</v>
      </c>
      <c r="K14">
        <f t="shared" si="1"/>
        <v>13154.4</v>
      </c>
      <c r="L14">
        <f t="shared" si="3"/>
        <v>3288.6000000000004</v>
      </c>
      <c r="M14">
        <v>48</v>
      </c>
    </row>
    <row r="15" spans="1:13" x14ac:dyDescent="0.3">
      <c r="A15">
        <v>1001</v>
      </c>
      <c r="B15" s="1">
        <v>45745</v>
      </c>
      <c r="C15">
        <f t="shared" si="0"/>
        <v>2025</v>
      </c>
      <c r="D15" t="str">
        <f>TEXT(Sales_Data[[#This Row],[ Order_Date ]],"mmm")</f>
        <v>Mar</v>
      </c>
      <c r="E15" t="s">
        <v>14</v>
      </c>
      <c r="F15" s="2" t="s">
        <v>30</v>
      </c>
      <c r="G15" t="s">
        <v>118</v>
      </c>
      <c r="H15" t="s">
        <v>121</v>
      </c>
      <c r="I15" t="s">
        <v>124</v>
      </c>
      <c r="J15">
        <v>42567</v>
      </c>
      <c r="K15">
        <f t="shared" si="1"/>
        <v>34053.599999999999</v>
      </c>
      <c r="L15">
        <f t="shared" si="3"/>
        <v>8513.4000000000015</v>
      </c>
      <c r="M15">
        <v>23</v>
      </c>
    </row>
    <row r="16" spans="1:13" x14ac:dyDescent="0.3">
      <c r="A16">
        <v>1001</v>
      </c>
      <c r="B16" s="1">
        <v>45697</v>
      </c>
      <c r="C16">
        <f t="shared" si="0"/>
        <v>2025</v>
      </c>
      <c r="D16" t="str">
        <f>TEXT(Sales_Data[[#This Row],[ Order_Date ]],"mmm")</f>
        <v>Feb</v>
      </c>
      <c r="E16" t="s">
        <v>15</v>
      </c>
      <c r="F16" s="2" t="s">
        <v>31</v>
      </c>
      <c r="G16" t="s">
        <v>119</v>
      </c>
      <c r="H16" t="s">
        <v>122</v>
      </c>
      <c r="I16" t="s">
        <v>125</v>
      </c>
      <c r="J16">
        <v>21668</v>
      </c>
      <c r="K16">
        <f t="shared" si="1"/>
        <v>17334.400000000001</v>
      </c>
      <c r="L16">
        <f t="shared" si="3"/>
        <v>4333.5999999999985</v>
      </c>
      <c r="M16">
        <v>2</v>
      </c>
    </row>
    <row r="17" spans="1:13" x14ac:dyDescent="0.3">
      <c r="A17">
        <v>1001</v>
      </c>
      <c r="B17" s="1">
        <v>45906</v>
      </c>
      <c r="C17">
        <f t="shared" si="0"/>
        <v>2025</v>
      </c>
      <c r="D17" t="str">
        <f>TEXT(Sales_Data[[#This Row],[ Order_Date ]],"mmm")</f>
        <v>Sep</v>
      </c>
      <c r="E17" t="s">
        <v>16</v>
      </c>
      <c r="F17" s="2" t="s">
        <v>32</v>
      </c>
      <c r="G17" t="s">
        <v>117</v>
      </c>
      <c r="H17" t="s">
        <v>120</v>
      </c>
      <c r="I17" t="s">
        <v>123</v>
      </c>
      <c r="J17">
        <v>17618</v>
      </c>
      <c r="K17">
        <f t="shared" si="1"/>
        <v>14094.4</v>
      </c>
      <c r="L17">
        <f t="shared" si="3"/>
        <v>3523.6000000000004</v>
      </c>
      <c r="M17">
        <v>40</v>
      </c>
    </row>
    <row r="18" spans="1:13" x14ac:dyDescent="0.3">
      <c r="A18">
        <v>1001</v>
      </c>
      <c r="B18" s="1">
        <v>45920</v>
      </c>
      <c r="C18">
        <f t="shared" si="0"/>
        <v>2025</v>
      </c>
      <c r="D18" t="str">
        <f>TEXT(Sales_Data[[#This Row],[ Order_Date ]],"mmm")</f>
        <v>Sep</v>
      </c>
      <c r="E18" t="s">
        <v>13</v>
      </c>
      <c r="F18" s="2" t="s">
        <v>33</v>
      </c>
      <c r="G18" t="s">
        <v>118</v>
      </c>
      <c r="H18" t="s">
        <v>121</v>
      </c>
      <c r="I18" t="s">
        <v>124</v>
      </c>
      <c r="J18">
        <v>36747</v>
      </c>
      <c r="K18">
        <f t="shared" si="1"/>
        <v>29397.599999999999</v>
      </c>
      <c r="L18">
        <f t="shared" si="3"/>
        <v>7349.4000000000015</v>
      </c>
      <c r="M18">
        <v>12</v>
      </c>
    </row>
    <row r="19" spans="1:13" x14ac:dyDescent="0.3">
      <c r="A19">
        <v>1001</v>
      </c>
      <c r="B19" s="1">
        <v>45734</v>
      </c>
      <c r="C19">
        <f t="shared" si="0"/>
        <v>2025</v>
      </c>
      <c r="D19" t="str">
        <f>TEXT(Sales_Data[[#This Row],[ Order_Date ]],"mmm")</f>
        <v>Mar</v>
      </c>
      <c r="E19" t="s">
        <v>14</v>
      </c>
      <c r="F19" s="2" t="s">
        <v>34</v>
      </c>
      <c r="G19" t="s">
        <v>119</v>
      </c>
      <c r="H19" t="s">
        <v>122</v>
      </c>
      <c r="I19" t="s">
        <v>125</v>
      </c>
      <c r="J19">
        <v>32289</v>
      </c>
      <c r="K19">
        <f t="shared" si="1"/>
        <v>25831.200000000001</v>
      </c>
      <c r="L19">
        <f t="shared" si="3"/>
        <v>6457.7999999999993</v>
      </c>
      <c r="M19">
        <v>10</v>
      </c>
    </row>
    <row r="20" spans="1:13" x14ac:dyDescent="0.3">
      <c r="A20">
        <v>1001</v>
      </c>
      <c r="B20" s="1">
        <v>45932</v>
      </c>
      <c r="C20">
        <f t="shared" si="0"/>
        <v>2025</v>
      </c>
      <c r="D20" t="str">
        <f>TEXT(Sales_Data[[#This Row],[ Order_Date ]],"mmm")</f>
        <v>Oct</v>
      </c>
      <c r="E20" t="s">
        <v>15</v>
      </c>
      <c r="F20" s="2" t="s">
        <v>35</v>
      </c>
      <c r="G20" t="s">
        <v>117</v>
      </c>
      <c r="H20" t="s">
        <v>120</v>
      </c>
      <c r="I20" t="s">
        <v>123</v>
      </c>
      <c r="J20">
        <v>39426</v>
      </c>
      <c r="K20">
        <f t="shared" si="1"/>
        <v>31540.799999999999</v>
      </c>
      <c r="L20">
        <f t="shared" si="3"/>
        <v>7885.2000000000007</v>
      </c>
      <c r="M20">
        <v>33</v>
      </c>
    </row>
    <row r="21" spans="1:13" x14ac:dyDescent="0.3">
      <c r="A21">
        <v>1001</v>
      </c>
      <c r="B21" s="1">
        <v>45914</v>
      </c>
      <c r="C21">
        <f t="shared" si="0"/>
        <v>2025</v>
      </c>
      <c r="D21" t="str">
        <f>TEXT(Sales_Data[[#This Row],[ Order_Date ]],"mmm")</f>
        <v>Sep</v>
      </c>
      <c r="E21" t="s">
        <v>16</v>
      </c>
      <c r="F21" s="2" t="s">
        <v>36</v>
      </c>
      <c r="G21" t="s">
        <v>118</v>
      </c>
      <c r="H21" t="s">
        <v>121</v>
      </c>
      <c r="I21" t="s">
        <v>124</v>
      </c>
      <c r="J21">
        <v>29237</v>
      </c>
      <c r="K21">
        <f t="shared" si="1"/>
        <v>23389.599999999999</v>
      </c>
      <c r="L21">
        <f t="shared" si="3"/>
        <v>5847.4000000000015</v>
      </c>
      <c r="M21">
        <v>30</v>
      </c>
    </row>
    <row r="22" spans="1:13" x14ac:dyDescent="0.3">
      <c r="A22">
        <v>1001</v>
      </c>
      <c r="B22" s="1">
        <v>45659</v>
      </c>
      <c r="C22">
        <f t="shared" si="0"/>
        <v>2025</v>
      </c>
      <c r="D22" t="str">
        <f>TEXT(Sales_Data[[#This Row],[ Order_Date ]],"mmm")</f>
        <v>Jan</v>
      </c>
      <c r="E22" t="s">
        <v>13</v>
      </c>
      <c r="F22" s="2" t="s">
        <v>37</v>
      </c>
      <c r="G22" t="s">
        <v>119</v>
      </c>
      <c r="H22" t="s">
        <v>122</v>
      </c>
      <c r="I22" t="s">
        <v>125</v>
      </c>
      <c r="J22">
        <v>44747</v>
      </c>
      <c r="K22">
        <f t="shared" si="1"/>
        <v>35797.599999999999</v>
      </c>
      <c r="L22">
        <f t="shared" si="3"/>
        <v>8949.4000000000015</v>
      </c>
      <c r="M22">
        <v>32</v>
      </c>
    </row>
    <row r="23" spans="1:13" x14ac:dyDescent="0.3">
      <c r="A23">
        <v>1001</v>
      </c>
      <c r="B23" s="1">
        <v>45684</v>
      </c>
      <c r="C23">
        <f t="shared" si="0"/>
        <v>2025</v>
      </c>
      <c r="D23" t="str">
        <f>TEXT(Sales_Data[[#This Row],[ Order_Date ]],"mmm")</f>
        <v>Jan</v>
      </c>
      <c r="E23" t="s">
        <v>14</v>
      </c>
      <c r="F23" s="2" t="s">
        <v>38</v>
      </c>
      <c r="G23" t="s">
        <v>117</v>
      </c>
      <c r="H23" t="s">
        <v>120</v>
      </c>
      <c r="I23" t="s">
        <v>123</v>
      </c>
      <c r="J23">
        <v>48305</v>
      </c>
      <c r="K23">
        <f t="shared" si="1"/>
        <v>38644</v>
      </c>
      <c r="L23">
        <f t="shared" si="3"/>
        <v>9661</v>
      </c>
      <c r="M23">
        <v>13</v>
      </c>
    </row>
    <row r="24" spans="1:13" x14ac:dyDescent="0.3">
      <c r="A24">
        <v>1001</v>
      </c>
      <c r="B24" s="1">
        <v>45709</v>
      </c>
      <c r="C24">
        <f t="shared" si="0"/>
        <v>2025</v>
      </c>
      <c r="D24" t="str">
        <f>TEXT(Sales_Data[[#This Row],[ Order_Date ]],"mmm")</f>
        <v>Feb</v>
      </c>
      <c r="E24" t="s">
        <v>15</v>
      </c>
      <c r="F24" s="2" t="s">
        <v>39</v>
      </c>
      <c r="G24" t="s">
        <v>118</v>
      </c>
      <c r="H24" t="s">
        <v>121</v>
      </c>
      <c r="I24" t="s">
        <v>124</v>
      </c>
      <c r="J24">
        <v>47006</v>
      </c>
      <c r="K24">
        <f t="shared" si="1"/>
        <v>37604.800000000003</v>
      </c>
      <c r="L24">
        <f t="shared" si="3"/>
        <v>9401.1999999999971</v>
      </c>
      <c r="M24">
        <v>3</v>
      </c>
    </row>
    <row r="25" spans="1:13" x14ac:dyDescent="0.3">
      <c r="A25">
        <v>1001</v>
      </c>
      <c r="B25" s="1">
        <v>45668</v>
      </c>
      <c r="C25">
        <f t="shared" si="0"/>
        <v>2025</v>
      </c>
      <c r="D25" t="str">
        <f>TEXT(Sales_Data[[#This Row],[ Order_Date ]],"mmm")</f>
        <v>Jan</v>
      </c>
      <c r="E25" t="s">
        <v>16</v>
      </c>
      <c r="F25" s="2" t="s">
        <v>40</v>
      </c>
      <c r="G25" t="s">
        <v>119</v>
      </c>
      <c r="H25" t="s">
        <v>122</v>
      </c>
      <c r="I25" t="s">
        <v>125</v>
      </c>
      <c r="J25">
        <v>10747</v>
      </c>
      <c r="K25">
        <f t="shared" si="1"/>
        <v>8597.6</v>
      </c>
      <c r="L25">
        <f t="shared" si="3"/>
        <v>2149.3999999999996</v>
      </c>
      <c r="M25">
        <v>6</v>
      </c>
    </row>
    <row r="26" spans="1:13" x14ac:dyDescent="0.3">
      <c r="A26">
        <v>1001</v>
      </c>
      <c r="B26" s="1">
        <v>46005</v>
      </c>
      <c r="C26">
        <f t="shared" si="0"/>
        <v>2025</v>
      </c>
      <c r="D26" t="str">
        <f>TEXT(Sales_Data[[#This Row],[ Order_Date ]],"mmm")</f>
        <v>Dec</v>
      </c>
      <c r="E26" t="s">
        <v>13</v>
      </c>
      <c r="F26" s="2" t="s">
        <v>41</v>
      </c>
      <c r="G26" t="s">
        <v>117</v>
      </c>
      <c r="H26" t="s">
        <v>120</v>
      </c>
      <c r="I26" t="s">
        <v>123</v>
      </c>
      <c r="J26">
        <v>30347</v>
      </c>
      <c r="K26">
        <f t="shared" si="1"/>
        <v>24277.599999999999</v>
      </c>
      <c r="L26">
        <f t="shared" si="3"/>
        <v>6069.4000000000015</v>
      </c>
      <c r="M26">
        <v>50</v>
      </c>
    </row>
    <row r="27" spans="1:13" x14ac:dyDescent="0.3">
      <c r="A27">
        <v>1001</v>
      </c>
      <c r="B27" s="1">
        <v>45868</v>
      </c>
      <c r="C27">
        <f t="shared" si="0"/>
        <v>2025</v>
      </c>
      <c r="D27" t="str">
        <f>TEXT(Sales_Data[[#This Row],[ Order_Date ]],"mmm")</f>
        <v>Jul</v>
      </c>
      <c r="E27" t="s">
        <v>14</v>
      </c>
      <c r="F27" s="2" t="s">
        <v>42</v>
      </c>
      <c r="G27" t="s">
        <v>118</v>
      </c>
      <c r="H27" t="s">
        <v>121</v>
      </c>
      <c r="I27" t="s">
        <v>124</v>
      </c>
      <c r="J27">
        <v>24553</v>
      </c>
      <c r="K27">
        <f t="shared" si="1"/>
        <v>19642.400000000001</v>
      </c>
      <c r="L27">
        <f t="shared" si="3"/>
        <v>4910.5999999999985</v>
      </c>
      <c r="M27">
        <v>46</v>
      </c>
    </row>
    <row r="28" spans="1:13" x14ac:dyDescent="0.3">
      <c r="A28">
        <v>1001</v>
      </c>
      <c r="B28" s="1">
        <v>45718</v>
      </c>
      <c r="C28">
        <f t="shared" si="0"/>
        <v>2025</v>
      </c>
      <c r="D28" t="str">
        <f>TEXT(Sales_Data[[#This Row],[ Order_Date ]],"mmm")</f>
        <v>Mar</v>
      </c>
      <c r="E28" t="s">
        <v>15</v>
      </c>
      <c r="F28" s="2" t="s">
        <v>43</v>
      </c>
      <c r="G28" t="s">
        <v>119</v>
      </c>
      <c r="H28" t="s">
        <v>122</v>
      </c>
      <c r="I28" t="s">
        <v>125</v>
      </c>
      <c r="J28">
        <v>19679</v>
      </c>
      <c r="K28">
        <f t="shared" si="1"/>
        <v>15743.2</v>
      </c>
      <c r="L28">
        <f t="shared" si="3"/>
        <v>3935.7999999999993</v>
      </c>
      <c r="M28">
        <v>39</v>
      </c>
    </row>
    <row r="29" spans="1:13" x14ac:dyDescent="0.3">
      <c r="A29">
        <v>1001</v>
      </c>
      <c r="B29" s="1">
        <v>45770</v>
      </c>
      <c r="C29">
        <f t="shared" si="0"/>
        <v>2025</v>
      </c>
      <c r="D29" t="str">
        <f>TEXT(Sales_Data[[#This Row],[ Order_Date ]],"mmm")</f>
        <v>Apr</v>
      </c>
      <c r="E29" t="s">
        <v>16</v>
      </c>
      <c r="F29" s="2" t="s">
        <v>44</v>
      </c>
      <c r="G29" t="s">
        <v>117</v>
      </c>
      <c r="H29" t="s">
        <v>120</v>
      </c>
      <c r="I29" t="s">
        <v>123</v>
      </c>
      <c r="J29">
        <v>25772</v>
      </c>
      <c r="K29">
        <f t="shared" si="1"/>
        <v>20617.599999999999</v>
      </c>
      <c r="L29">
        <f t="shared" si="3"/>
        <v>5154.4000000000015</v>
      </c>
      <c r="M29">
        <v>1</v>
      </c>
    </row>
    <row r="30" spans="1:13" x14ac:dyDescent="0.3">
      <c r="A30">
        <v>1001</v>
      </c>
      <c r="B30" s="1">
        <v>45672</v>
      </c>
      <c r="C30">
        <f t="shared" si="0"/>
        <v>2025</v>
      </c>
      <c r="D30" t="str">
        <f>TEXT(Sales_Data[[#This Row],[ Order_Date ]],"mmm")</f>
        <v>Jan</v>
      </c>
      <c r="E30" t="s">
        <v>13</v>
      </c>
      <c r="F30" s="2" t="s">
        <v>45</v>
      </c>
      <c r="G30" t="s">
        <v>118</v>
      </c>
      <c r="H30" t="s">
        <v>121</v>
      </c>
      <c r="I30" t="s">
        <v>124</v>
      </c>
      <c r="J30">
        <v>35040</v>
      </c>
      <c r="K30">
        <f t="shared" si="1"/>
        <v>28032</v>
      </c>
      <c r="L30">
        <f t="shared" si="3"/>
        <v>7008</v>
      </c>
      <c r="M30">
        <v>10</v>
      </c>
    </row>
    <row r="31" spans="1:13" x14ac:dyDescent="0.3">
      <c r="A31">
        <v>1001</v>
      </c>
      <c r="B31" s="1">
        <v>45693</v>
      </c>
      <c r="C31">
        <f t="shared" si="0"/>
        <v>2025</v>
      </c>
      <c r="D31" t="str">
        <f>TEXT(Sales_Data[[#This Row],[ Order_Date ]],"mmm")</f>
        <v>Feb</v>
      </c>
      <c r="E31" t="s">
        <v>14</v>
      </c>
      <c r="F31" s="2" t="s">
        <v>46</v>
      </c>
      <c r="G31" t="s">
        <v>119</v>
      </c>
      <c r="H31" t="s">
        <v>122</v>
      </c>
      <c r="I31" t="s">
        <v>125</v>
      </c>
      <c r="J31">
        <v>32236</v>
      </c>
      <c r="K31">
        <f t="shared" si="1"/>
        <v>25788.799999999999</v>
      </c>
      <c r="L31">
        <f t="shared" si="3"/>
        <v>6447.2000000000007</v>
      </c>
      <c r="M31">
        <v>29</v>
      </c>
    </row>
    <row r="32" spans="1:13" x14ac:dyDescent="0.3">
      <c r="A32">
        <v>1001</v>
      </c>
      <c r="B32" s="1">
        <v>45809</v>
      </c>
      <c r="C32">
        <f t="shared" si="0"/>
        <v>2025</v>
      </c>
      <c r="D32" t="str">
        <f>TEXT(Sales_Data[[#This Row],[ Order_Date ]],"mmm")</f>
        <v>Jun</v>
      </c>
      <c r="E32" t="s">
        <v>15</v>
      </c>
      <c r="F32" s="2" t="s">
        <v>47</v>
      </c>
      <c r="G32" t="s">
        <v>117</v>
      </c>
      <c r="H32" t="s">
        <v>120</v>
      </c>
      <c r="I32" t="s">
        <v>123</v>
      </c>
      <c r="J32">
        <v>45114</v>
      </c>
      <c r="K32">
        <f t="shared" si="1"/>
        <v>36091.199999999997</v>
      </c>
      <c r="L32">
        <f t="shared" si="3"/>
        <v>9022.8000000000029</v>
      </c>
      <c r="M32">
        <v>35</v>
      </c>
    </row>
    <row r="33" spans="1:13" x14ac:dyDescent="0.3">
      <c r="A33">
        <v>1001</v>
      </c>
      <c r="B33" s="1">
        <v>45882</v>
      </c>
      <c r="C33">
        <f t="shared" si="0"/>
        <v>2025</v>
      </c>
      <c r="D33" t="str">
        <f>TEXT(Sales_Data[[#This Row],[ Order_Date ]],"mmm")</f>
        <v>Aug</v>
      </c>
      <c r="E33" t="s">
        <v>16</v>
      </c>
      <c r="F33" s="2" t="s">
        <v>48</v>
      </c>
      <c r="G33" t="s">
        <v>118</v>
      </c>
      <c r="H33" t="s">
        <v>121</v>
      </c>
      <c r="I33" t="s">
        <v>124</v>
      </c>
      <c r="J33">
        <v>22650</v>
      </c>
      <c r="K33">
        <f t="shared" si="1"/>
        <v>18120</v>
      </c>
      <c r="L33">
        <f t="shared" si="3"/>
        <v>4530</v>
      </c>
      <c r="M33">
        <v>8</v>
      </c>
    </row>
    <row r="34" spans="1:13" x14ac:dyDescent="0.3">
      <c r="A34">
        <v>1001</v>
      </c>
      <c r="B34" s="1">
        <v>45971</v>
      </c>
      <c r="C34">
        <f t="shared" si="0"/>
        <v>2025</v>
      </c>
      <c r="D34" t="str">
        <f>TEXT(Sales_Data[[#This Row],[ Order_Date ]],"mmm")</f>
        <v>Nov</v>
      </c>
      <c r="E34" t="s">
        <v>13</v>
      </c>
      <c r="F34" s="2" t="s">
        <v>49</v>
      </c>
      <c r="G34" t="s">
        <v>119</v>
      </c>
      <c r="H34" t="s">
        <v>122</v>
      </c>
      <c r="I34" t="s">
        <v>125</v>
      </c>
      <c r="J34">
        <v>30620</v>
      </c>
      <c r="K34">
        <f t="shared" si="1"/>
        <v>24496</v>
      </c>
      <c r="L34">
        <f t="shared" si="3"/>
        <v>6124</v>
      </c>
      <c r="M34">
        <v>37</v>
      </c>
    </row>
    <row r="35" spans="1:13" x14ac:dyDescent="0.3">
      <c r="A35">
        <v>1001</v>
      </c>
      <c r="B35" s="1">
        <v>45805</v>
      </c>
      <c r="C35">
        <f t="shared" si="0"/>
        <v>2025</v>
      </c>
      <c r="D35" t="str">
        <f>TEXT(Sales_Data[[#This Row],[ Order_Date ]],"mmm")</f>
        <v>May</v>
      </c>
      <c r="E35" t="s">
        <v>14</v>
      </c>
      <c r="F35" s="2" t="s">
        <v>50</v>
      </c>
      <c r="G35" t="s">
        <v>117</v>
      </c>
      <c r="H35" t="s">
        <v>120</v>
      </c>
      <c r="I35" t="s">
        <v>123</v>
      </c>
      <c r="J35">
        <v>32463</v>
      </c>
      <c r="K35">
        <f t="shared" si="1"/>
        <v>25970.400000000001</v>
      </c>
      <c r="L35">
        <f t="shared" si="3"/>
        <v>6492.5999999999985</v>
      </c>
      <c r="M35">
        <v>23</v>
      </c>
    </row>
    <row r="36" spans="1:13" x14ac:dyDescent="0.3">
      <c r="A36">
        <v>1001</v>
      </c>
      <c r="B36" s="1">
        <v>45924</v>
      </c>
      <c r="C36">
        <f t="shared" si="0"/>
        <v>2025</v>
      </c>
      <c r="D36" t="str">
        <f>TEXT(Sales_Data[[#This Row],[ Order_Date ]],"mmm")</f>
        <v>Sep</v>
      </c>
      <c r="E36" t="s">
        <v>15</v>
      </c>
      <c r="F36" s="2" t="s">
        <v>51</v>
      </c>
      <c r="G36" t="s">
        <v>118</v>
      </c>
      <c r="H36" t="s">
        <v>121</v>
      </c>
      <c r="I36" t="s">
        <v>124</v>
      </c>
      <c r="J36">
        <v>21420</v>
      </c>
      <c r="K36">
        <f t="shared" si="1"/>
        <v>17136</v>
      </c>
      <c r="L36">
        <f t="shared" si="3"/>
        <v>4284</v>
      </c>
      <c r="M36">
        <v>10</v>
      </c>
    </row>
    <row r="37" spans="1:13" x14ac:dyDescent="0.3">
      <c r="A37">
        <v>1001</v>
      </c>
      <c r="B37" s="1">
        <v>45743</v>
      </c>
      <c r="C37">
        <f t="shared" si="0"/>
        <v>2025</v>
      </c>
      <c r="D37" t="str">
        <f>TEXT(Sales_Data[[#This Row],[ Order_Date ]],"mmm")</f>
        <v>Mar</v>
      </c>
      <c r="E37" t="s">
        <v>16</v>
      </c>
      <c r="F37" s="2" t="s">
        <v>52</v>
      </c>
      <c r="G37" t="s">
        <v>119</v>
      </c>
      <c r="H37" t="s">
        <v>122</v>
      </c>
      <c r="I37" t="s">
        <v>125</v>
      </c>
      <c r="J37">
        <v>26350</v>
      </c>
      <c r="K37">
        <f t="shared" si="1"/>
        <v>21080</v>
      </c>
      <c r="L37">
        <f t="shared" si="3"/>
        <v>5270</v>
      </c>
      <c r="M37">
        <v>7</v>
      </c>
    </row>
    <row r="38" spans="1:13" x14ac:dyDescent="0.3">
      <c r="A38">
        <v>1001</v>
      </c>
      <c r="B38" s="1">
        <v>45881</v>
      </c>
      <c r="C38">
        <f t="shared" si="0"/>
        <v>2025</v>
      </c>
      <c r="D38" t="str">
        <f>TEXT(Sales_Data[[#This Row],[ Order_Date ]],"mmm")</f>
        <v>Aug</v>
      </c>
      <c r="E38" t="s">
        <v>13</v>
      </c>
      <c r="F38" s="2" t="s">
        <v>53</v>
      </c>
      <c r="G38" t="s">
        <v>117</v>
      </c>
      <c r="H38" t="s">
        <v>120</v>
      </c>
      <c r="I38" t="s">
        <v>123</v>
      </c>
      <c r="J38">
        <v>37838</v>
      </c>
      <c r="K38">
        <f t="shared" si="1"/>
        <v>30270.400000000001</v>
      </c>
      <c r="L38">
        <f t="shared" si="3"/>
        <v>7567.5999999999985</v>
      </c>
      <c r="M38">
        <v>48</v>
      </c>
    </row>
    <row r="39" spans="1:13" x14ac:dyDescent="0.3">
      <c r="A39">
        <v>1001</v>
      </c>
      <c r="B39" s="1">
        <v>45775</v>
      </c>
      <c r="C39">
        <f t="shared" si="0"/>
        <v>2025</v>
      </c>
      <c r="D39" t="str">
        <f>TEXT(Sales_Data[[#This Row],[ Order_Date ]],"mmm")</f>
        <v>Apr</v>
      </c>
      <c r="E39" t="s">
        <v>14</v>
      </c>
      <c r="F39" s="2" t="s">
        <v>54</v>
      </c>
      <c r="G39" t="s">
        <v>118</v>
      </c>
      <c r="H39" t="s">
        <v>121</v>
      </c>
      <c r="I39" t="s">
        <v>124</v>
      </c>
      <c r="J39">
        <v>13466</v>
      </c>
      <c r="K39">
        <f t="shared" si="1"/>
        <v>10772.8</v>
      </c>
      <c r="L39">
        <f t="shared" si="3"/>
        <v>2693.2000000000007</v>
      </c>
      <c r="M39">
        <v>16</v>
      </c>
    </row>
    <row r="40" spans="1:13" x14ac:dyDescent="0.3">
      <c r="A40">
        <v>1001</v>
      </c>
      <c r="B40" s="1">
        <v>45797</v>
      </c>
      <c r="C40">
        <f t="shared" si="0"/>
        <v>2025</v>
      </c>
      <c r="D40" t="str">
        <f>TEXT(Sales_Data[[#This Row],[ Order_Date ]],"mmm")</f>
        <v>May</v>
      </c>
      <c r="E40" t="s">
        <v>15</v>
      </c>
      <c r="F40" s="2" t="s">
        <v>55</v>
      </c>
      <c r="G40" t="s">
        <v>119</v>
      </c>
      <c r="H40" t="s">
        <v>122</v>
      </c>
      <c r="I40" t="s">
        <v>125</v>
      </c>
      <c r="J40">
        <v>19375</v>
      </c>
      <c r="K40">
        <f t="shared" si="1"/>
        <v>15500</v>
      </c>
      <c r="L40">
        <f t="shared" si="3"/>
        <v>3875</v>
      </c>
      <c r="M40">
        <v>30</v>
      </c>
    </row>
    <row r="41" spans="1:13" x14ac:dyDescent="0.3">
      <c r="A41">
        <v>1001</v>
      </c>
      <c r="B41" s="1">
        <v>45828</v>
      </c>
      <c r="C41">
        <f t="shared" si="0"/>
        <v>2025</v>
      </c>
      <c r="D41" t="str">
        <f>TEXT(Sales_Data[[#This Row],[ Order_Date ]],"mmm")</f>
        <v>Jun</v>
      </c>
      <c r="E41" t="s">
        <v>16</v>
      </c>
      <c r="F41" s="2" t="s">
        <v>56</v>
      </c>
      <c r="G41" t="s">
        <v>117</v>
      </c>
      <c r="H41" t="s">
        <v>120</v>
      </c>
      <c r="I41" t="s">
        <v>123</v>
      </c>
      <c r="J41">
        <v>41980</v>
      </c>
      <c r="K41">
        <f t="shared" si="1"/>
        <v>33584</v>
      </c>
      <c r="L41">
        <f t="shared" si="3"/>
        <v>8396</v>
      </c>
      <c r="M41">
        <v>21</v>
      </c>
    </row>
    <row r="42" spans="1:13" x14ac:dyDescent="0.3">
      <c r="A42">
        <v>1001</v>
      </c>
      <c r="B42" s="1">
        <v>46020</v>
      </c>
      <c r="C42">
        <f t="shared" si="0"/>
        <v>2025</v>
      </c>
      <c r="D42" t="str">
        <f>TEXT(Sales_Data[[#This Row],[ Order_Date ]],"mmm")</f>
        <v>Dec</v>
      </c>
      <c r="E42" t="s">
        <v>13</v>
      </c>
      <c r="F42" s="2" t="s">
        <v>57</v>
      </c>
      <c r="G42" t="s">
        <v>118</v>
      </c>
      <c r="H42" t="s">
        <v>121</v>
      </c>
      <c r="I42" t="s">
        <v>124</v>
      </c>
      <c r="J42">
        <v>21094</v>
      </c>
      <c r="K42">
        <f t="shared" si="1"/>
        <v>16875.2</v>
      </c>
      <c r="L42">
        <f t="shared" si="3"/>
        <v>4218.7999999999993</v>
      </c>
      <c r="M42">
        <v>36</v>
      </c>
    </row>
    <row r="43" spans="1:13" x14ac:dyDescent="0.3">
      <c r="A43">
        <v>1001</v>
      </c>
      <c r="B43" s="1">
        <v>45690</v>
      </c>
      <c r="C43">
        <f t="shared" si="0"/>
        <v>2025</v>
      </c>
      <c r="D43" t="str">
        <f>TEXT(Sales_Data[[#This Row],[ Order_Date ]],"mmm")</f>
        <v>Feb</v>
      </c>
      <c r="E43" t="s">
        <v>14</v>
      </c>
      <c r="F43" s="2" t="s">
        <v>58</v>
      </c>
      <c r="G43" t="s">
        <v>119</v>
      </c>
      <c r="H43" t="s">
        <v>122</v>
      </c>
      <c r="I43" t="s">
        <v>125</v>
      </c>
      <c r="J43">
        <v>30333</v>
      </c>
      <c r="K43">
        <f t="shared" si="1"/>
        <v>24266.400000000001</v>
      </c>
      <c r="L43">
        <f t="shared" si="3"/>
        <v>6066.5999999999985</v>
      </c>
      <c r="M43">
        <v>47</v>
      </c>
    </row>
    <row r="44" spans="1:13" x14ac:dyDescent="0.3">
      <c r="A44">
        <v>1001</v>
      </c>
      <c r="B44" s="1">
        <v>45813</v>
      </c>
      <c r="C44">
        <f t="shared" si="0"/>
        <v>2025</v>
      </c>
      <c r="D44" t="str">
        <f>TEXT(Sales_Data[[#This Row],[ Order_Date ]],"mmm")</f>
        <v>Jun</v>
      </c>
      <c r="E44" t="s">
        <v>15</v>
      </c>
      <c r="F44" s="2" t="s">
        <v>59</v>
      </c>
      <c r="G44" t="s">
        <v>117</v>
      </c>
      <c r="H44" t="s">
        <v>120</v>
      </c>
      <c r="I44" t="s">
        <v>123</v>
      </c>
      <c r="J44">
        <v>30177</v>
      </c>
      <c r="K44">
        <f t="shared" si="1"/>
        <v>24141.599999999999</v>
      </c>
      <c r="L44">
        <f t="shared" si="3"/>
        <v>6035.4000000000015</v>
      </c>
      <c r="M44">
        <v>22</v>
      </c>
    </row>
    <row r="45" spans="1:13" x14ac:dyDescent="0.3">
      <c r="A45">
        <v>1001</v>
      </c>
      <c r="B45" s="1">
        <v>45887</v>
      </c>
      <c r="C45">
        <f t="shared" si="0"/>
        <v>2025</v>
      </c>
      <c r="D45" t="str">
        <f>TEXT(Sales_Data[[#This Row],[ Order_Date ]],"mmm")</f>
        <v>Aug</v>
      </c>
      <c r="E45" t="s">
        <v>16</v>
      </c>
      <c r="F45" s="2" t="s">
        <v>60</v>
      </c>
      <c r="G45" t="s">
        <v>118</v>
      </c>
      <c r="H45" t="s">
        <v>121</v>
      </c>
      <c r="I45" t="s">
        <v>124</v>
      </c>
      <c r="J45">
        <v>31673</v>
      </c>
      <c r="K45">
        <f t="shared" si="1"/>
        <v>25338.400000000001</v>
      </c>
      <c r="L45">
        <f t="shared" si="3"/>
        <v>6334.5999999999985</v>
      </c>
      <c r="M45">
        <v>33</v>
      </c>
    </row>
    <row r="46" spans="1:13" x14ac:dyDescent="0.3">
      <c r="A46">
        <v>1001</v>
      </c>
      <c r="B46" s="1">
        <v>45892</v>
      </c>
      <c r="C46">
        <f t="shared" si="0"/>
        <v>2025</v>
      </c>
      <c r="D46" t="str">
        <f>TEXT(Sales_Data[[#This Row],[ Order_Date ]],"mmm")</f>
        <v>Aug</v>
      </c>
      <c r="E46" t="s">
        <v>13</v>
      </c>
      <c r="F46" s="2" t="s">
        <v>61</v>
      </c>
      <c r="G46" t="s">
        <v>119</v>
      </c>
      <c r="H46" t="s">
        <v>122</v>
      </c>
      <c r="I46" t="s">
        <v>125</v>
      </c>
      <c r="J46">
        <v>40323</v>
      </c>
      <c r="K46">
        <f t="shared" si="1"/>
        <v>32258.400000000001</v>
      </c>
      <c r="L46">
        <f t="shared" si="3"/>
        <v>8064.5999999999985</v>
      </c>
      <c r="M46">
        <v>22</v>
      </c>
    </row>
    <row r="47" spans="1:13" x14ac:dyDescent="0.3">
      <c r="A47">
        <v>1001</v>
      </c>
      <c r="B47" s="1">
        <v>45877</v>
      </c>
      <c r="C47">
        <f t="shared" si="0"/>
        <v>2025</v>
      </c>
      <c r="D47" t="str">
        <f>TEXT(Sales_Data[[#This Row],[ Order_Date ]],"mmm")</f>
        <v>Aug</v>
      </c>
      <c r="E47" t="s">
        <v>14</v>
      </c>
      <c r="F47" s="2" t="s">
        <v>62</v>
      </c>
      <c r="G47" t="s">
        <v>117</v>
      </c>
      <c r="H47" t="s">
        <v>120</v>
      </c>
      <c r="I47" t="s">
        <v>123</v>
      </c>
      <c r="J47">
        <v>31379</v>
      </c>
      <c r="K47">
        <f t="shared" si="1"/>
        <v>25103.200000000001</v>
      </c>
      <c r="L47">
        <f t="shared" si="3"/>
        <v>6275.7999999999993</v>
      </c>
      <c r="M47">
        <v>38</v>
      </c>
    </row>
    <row r="48" spans="1:13" x14ac:dyDescent="0.3">
      <c r="A48">
        <v>1001</v>
      </c>
      <c r="B48" s="1">
        <v>45919</v>
      </c>
      <c r="C48">
        <f t="shared" si="0"/>
        <v>2025</v>
      </c>
      <c r="D48" t="str">
        <f>TEXT(Sales_Data[[#This Row],[ Order_Date ]],"mmm")</f>
        <v>Sep</v>
      </c>
      <c r="E48" t="s">
        <v>15</v>
      </c>
      <c r="F48" s="2" t="s">
        <v>63</v>
      </c>
      <c r="G48" t="s">
        <v>118</v>
      </c>
      <c r="H48" t="s">
        <v>121</v>
      </c>
      <c r="I48" t="s">
        <v>124</v>
      </c>
      <c r="J48">
        <v>32157</v>
      </c>
      <c r="K48">
        <f t="shared" si="1"/>
        <v>25725.599999999999</v>
      </c>
      <c r="L48">
        <f t="shared" si="3"/>
        <v>6431.4000000000015</v>
      </c>
      <c r="M48">
        <v>32</v>
      </c>
    </row>
    <row r="49" spans="1:13" x14ac:dyDescent="0.3">
      <c r="A49">
        <v>1001</v>
      </c>
      <c r="B49" s="1">
        <v>45959</v>
      </c>
      <c r="C49">
        <f t="shared" si="0"/>
        <v>2025</v>
      </c>
      <c r="D49" t="str">
        <f>TEXT(Sales_Data[[#This Row],[ Order_Date ]],"mmm")</f>
        <v>Oct</v>
      </c>
      <c r="E49" t="s">
        <v>16</v>
      </c>
      <c r="F49" s="2" t="s">
        <v>64</v>
      </c>
      <c r="G49" t="s">
        <v>119</v>
      </c>
      <c r="H49" t="s">
        <v>122</v>
      </c>
      <c r="I49" t="s">
        <v>125</v>
      </c>
      <c r="J49">
        <v>27997</v>
      </c>
      <c r="K49">
        <f t="shared" si="1"/>
        <v>22397.599999999999</v>
      </c>
      <c r="L49">
        <f t="shared" si="3"/>
        <v>5599.4000000000015</v>
      </c>
      <c r="M49">
        <v>17</v>
      </c>
    </row>
    <row r="50" spans="1:13" x14ac:dyDescent="0.3">
      <c r="A50">
        <v>1001</v>
      </c>
      <c r="B50" s="1">
        <v>45933</v>
      </c>
      <c r="C50">
        <f t="shared" si="0"/>
        <v>2025</v>
      </c>
      <c r="D50" t="str">
        <f>TEXT(Sales_Data[[#This Row],[ Order_Date ]],"mmm")</f>
        <v>Oct</v>
      </c>
      <c r="E50" t="s">
        <v>13</v>
      </c>
      <c r="F50" s="2" t="s">
        <v>65</v>
      </c>
      <c r="G50" t="s">
        <v>117</v>
      </c>
      <c r="H50" t="s">
        <v>120</v>
      </c>
      <c r="I50" t="s">
        <v>123</v>
      </c>
      <c r="J50">
        <v>12729</v>
      </c>
      <c r="K50">
        <f t="shared" si="1"/>
        <v>10183.200000000001</v>
      </c>
      <c r="L50">
        <f t="shared" si="3"/>
        <v>2545.7999999999993</v>
      </c>
      <c r="M50">
        <v>13</v>
      </c>
    </row>
    <row r="51" spans="1:13" x14ac:dyDescent="0.3">
      <c r="A51">
        <v>1001</v>
      </c>
      <c r="B51" s="1">
        <v>46018</v>
      </c>
      <c r="C51">
        <f t="shared" si="0"/>
        <v>2025</v>
      </c>
      <c r="D51" t="str">
        <f>TEXT(Sales_Data[[#This Row],[ Order_Date ]],"mmm")</f>
        <v>Dec</v>
      </c>
      <c r="E51" t="s">
        <v>14</v>
      </c>
      <c r="F51" s="2" t="s">
        <v>66</v>
      </c>
      <c r="G51" t="s">
        <v>118</v>
      </c>
      <c r="H51" t="s">
        <v>121</v>
      </c>
      <c r="I51" t="s">
        <v>124</v>
      </c>
      <c r="J51">
        <v>21744</v>
      </c>
      <c r="K51">
        <f t="shared" si="1"/>
        <v>17395.2</v>
      </c>
      <c r="L51">
        <f t="shared" si="3"/>
        <v>4348.7999999999993</v>
      </c>
      <c r="M51">
        <v>16</v>
      </c>
    </row>
    <row r="52" spans="1:13" x14ac:dyDescent="0.3">
      <c r="A52">
        <v>1001</v>
      </c>
      <c r="B52" s="1">
        <v>45876</v>
      </c>
      <c r="C52">
        <f t="shared" si="0"/>
        <v>2025</v>
      </c>
      <c r="D52" t="str">
        <f>TEXT(Sales_Data[[#This Row],[ Order_Date ]],"mmm")</f>
        <v>Aug</v>
      </c>
      <c r="E52" t="s">
        <v>15</v>
      </c>
      <c r="F52" s="2" t="s">
        <v>67</v>
      </c>
      <c r="G52" t="s">
        <v>119</v>
      </c>
      <c r="H52" t="s">
        <v>122</v>
      </c>
      <c r="I52" t="s">
        <v>125</v>
      </c>
      <c r="J52">
        <v>35269</v>
      </c>
      <c r="K52">
        <f t="shared" si="1"/>
        <v>28215.200000000001</v>
      </c>
      <c r="L52">
        <f t="shared" si="3"/>
        <v>7053.7999999999993</v>
      </c>
      <c r="M52">
        <v>7</v>
      </c>
    </row>
    <row r="53" spans="1:13" x14ac:dyDescent="0.3">
      <c r="A53">
        <v>1001</v>
      </c>
      <c r="B53" s="1">
        <v>45705</v>
      </c>
      <c r="C53">
        <f t="shared" si="0"/>
        <v>2025</v>
      </c>
      <c r="D53" t="str">
        <f>TEXT(Sales_Data[[#This Row],[ Order_Date ]],"mmm")</f>
        <v>Feb</v>
      </c>
      <c r="E53" t="s">
        <v>16</v>
      </c>
      <c r="F53" s="2" t="s">
        <v>68</v>
      </c>
      <c r="G53" t="s">
        <v>117</v>
      </c>
      <c r="H53" t="s">
        <v>120</v>
      </c>
      <c r="I53" t="s">
        <v>123</v>
      </c>
      <c r="J53">
        <v>31435</v>
      </c>
      <c r="K53">
        <f t="shared" si="1"/>
        <v>25148</v>
      </c>
      <c r="L53">
        <f t="shared" si="3"/>
        <v>6287</v>
      </c>
      <c r="M53">
        <v>25</v>
      </c>
    </row>
    <row r="54" spans="1:13" x14ac:dyDescent="0.3">
      <c r="A54">
        <v>1001</v>
      </c>
      <c r="B54" s="1">
        <v>45959</v>
      </c>
      <c r="C54">
        <f t="shared" si="0"/>
        <v>2025</v>
      </c>
      <c r="D54" t="str">
        <f>TEXT(Sales_Data[[#This Row],[ Order_Date ]],"mmm")</f>
        <v>Oct</v>
      </c>
      <c r="E54" t="s">
        <v>13</v>
      </c>
      <c r="F54" s="2" t="s">
        <v>69</v>
      </c>
      <c r="G54" t="s">
        <v>118</v>
      </c>
      <c r="H54" t="s">
        <v>121</v>
      </c>
      <c r="I54" t="s">
        <v>124</v>
      </c>
      <c r="J54">
        <v>47202</v>
      </c>
      <c r="K54">
        <f t="shared" si="1"/>
        <v>37761.599999999999</v>
      </c>
      <c r="L54">
        <f t="shared" si="3"/>
        <v>9440.4000000000015</v>
      </c>
      <c r="M54">
        <v>4</v>
      </c>
    </row>
    <row r="55" spans="1:13" x14ac:dyDescent="0.3">
      <c r="A55">
        <v>1001</v>
      </c>
      <c r="B55" s="1">
        <v>45981</v>
      </c>
      <c r="C55">
        <f t="shared" si="0"/>
        <v>2025</v>
      </c>
      <c r="D55" t="str">
        <f>TEXT(Sales_Data[[#This Row],[ Order_Date ]],"mmm")</f>
        <v>Nov</v>
      </c>
      <c r="E55" t="s">
        <v>14</v>
      </c>
      <c r="F55" s="2" t="s">
        <v>70</v>
      </c>
      <c r="G55" t="s">
        <v>119</v>
      </c>
      <c r="H55" t="s">
        <v>122</v>
      </c>
      <c r="I55" t="s">
        <v>125</v>
      </c>
      <c r="J55">
        <v>44536</v>
      </c>
      <c r="K55">
        <f t="shared" si="1"/>
        <v>35628.800000000003</v>
      </c>
      <c r="L55">
        <f t="shared" si="3"/>
        <v>8907.1999999999971</v>
      </c>
      <c r="M55">
        <v>38</v>
      </c>
    </row>
    <row r="56" spans="1:13" x14ac:dyDescent="0.3">
      <c r="A56">
        <v>1001</v>
      </c>
      <c r="B56" s="1">
        <v>45971</v>
      </c>
      <c r="C56">
        <f t="shared" si="0"/>
        <v>2025</v>
      </c>
      <c r="D56" t="str">
        <f>TEXT(Sales_Data[[#This Row],[ Order_Date ]],"mmm")</f>
        <v>Nov</v>
      </c>
      <c r="E56" t="s">
        <v>15</v>
      </c>
      <c r="F56" s="2" t="s">
        <v>71</v>
      </c>
      <c r="G56" t="s">
        <v>117</v>
      </c>
      <c r="H56" t="s">
        <v>120</v>
      </c>
      <c r="I56" t="s">
        <v>123</v>
      </c>
      <c r="J56">
        <v>35544</v>
      </c>
      <c r="K56">
        <f t="shared" si="1"/>
        <v>28435.200000000001</v>
      </c>
      <c r="L56">
        <f t="shared" si="3"/>
        <v>7108.7999999999993</v>
      </c>
      <c r="M56">
        <v>6</v>
      </c>
    </row>
    <row r="57" spans="1:13" x14ac:dyDescent="0.3">
      <c r="A57">
        <v>1001</v>
      </c>
      <c r="B57" s="1">
        <v>45908</v>
      </c>
      <c r="C57">
        <f t="shared" si="0"/>
        <v>2025</v>
      </c>
      <c r="D57" t="str">
        <f>TEXT(Sales_Data[[#This Row],[ Order_Date ]],"mmm")</f>
        <v>Sep</v>
      </c>
      <c r="E57" t="s">
        <v>16</v>
      </c>
      <c r="F57" s="2" t="s">
        <v>72</v>
      </c>
      <c r="G57" t="s">
        <v>118</v>
      </c>
      <c r="H57" t="s">
        <v>121</v>
      </c>
      <c r="I57" t="s">
        <v>124</v>
      </c>
      <c r="J57">
        <v>24502</v>
      </c>
      <c r="K57">
        <f t="shared" si="1"/>
        <v>19601.599999999999</v>
      </c>
      <c r="L57">
        <f t="shared" si="3"/>
        <v>4900.4000000000015</v>
      </c>
      <c r="M57">
        <v>40</v>
      </c>
    </row>
    <row r="58" spans="1:13" x14ac:dyDescent="0.3">
      <c r="A58">
        <v>1001</v>
      </c>
      <c r="B58" s="1">
        <v>45896</v>
      </c>
      <c r="C58">
        <f t="shared" si="0"/>
        <v>2025</v>
      </c>
      <c r="D58" t="str">
        <f>TEXT(Sales_Data[[#This Row],[ Order_Date ]],"mmm")</f>
        <v>Aug</v>
      </c>
      <c r="E58" t="s">
        <v>13</v>
      </c>
      <c r="F58" s="2" t="s">
        <v>73</v>
      </c>
      <c r="G58" t="s">
        <v>119</v>
      </c>
      <c r="H58" t="s">
        <v>122</v>
      </c>
      <c r="I58" t="s">
        <v>125</v>
      </c>
      <c r="J58">
        <v>20828</v>
      </c>
      <c r="K58">
        <f t="shared" si="1"/>
        <v>16662.400000000001</v>
      </c>
      <c r="L58">
        <f t="shared" si="3"/>
        <v>4165.5999999999985</v>
      </c>
      <c r="M58">
        <v>37</v>
      </c>
    </row>
    <row r="59" spans="1:13" x14ac:dyDescent="0.3">
      <c r="A59">
        <v>1001</v>
      </c>
      <c r="B59" s="1">
        <v>45900</v>
      </c>
      <c r="C59">
        <f t="shared" si="0"/>
        <v>2025</v>
      </c>
      <c r="D59" t="str">
        <f>TEXT(Sales_Data[[#This Row],[ Order_Date ]],"mmm")</f>
        <v>Aug</v>
      </c>
      <c r="E59" t="s">
        <v>14</v>
      </c>
      <c r="F59" s="2" t="s">
        <v>74</v>
      </c>
      <c r="G59" t="s">
        <v>117</v>
      </c>
      <c r="H59" t="s">
        <v>120</v>
      </c>
      <c r="I59" t="s">
        <v>123</v>
      </c>
      <c r="J59">
        <v>17943</v>
      </c>
      <c r="K59">
        <f t="shared" si="1"/>
        <v>14354.4</v>
      </c>
      <c r="L59">
        <f t="shared" si="3"/>
        <v>3588.6000000000004</v>
      </c>
      <c r="M59">
        <v>23</v>
      </c>
    </row>
    <row r="60" spans="1:13" x14ac:dyDescent="0.3">
      <c r="A60">
        <v>1001</v>
      </c>
      <c r="B60" s="1">
        <v>45754</v>
      </c>
      <c r="C60">
        <f t="shared" si="0"/>
        <v>2025</v>
      </c>
      <c r="D60" t="str">
        <f>TEXT(Sales_Data[[#This Row],[ Order_Date ]],"mmm")</f>
        <v>Apr</v>
      </c>
      <c r="E60" t="s">
        <v>15</v>
      </c>
      <c r="F60" s="2" t="s">
        <v>75</v>
      </c>
      <c r="G60" t="s">
        <v>118</v>
      </c>
      <c r="H60" t="s">
        <v>121</v>
      </c>
      <c r="I60" t="s">
        <v>124</v>
      </c>
      <c r="J60">
        <v>44879</v>
      </c>
      <c r="K60">
        <f t="shared" si="1"/>
        <v>35903.199999999997</v>
      </c>
      <c r="L60">
        <f t="shared" si="3"/>
        <v>8975.8000000000029</v>
      </c>
      <c r="M60">
        <v>20</v>
      </c>
    </row>
    <row r="61" spans="1:13" x14ac:dyDescent="0.3">
      <c r="A61">
        <v>1001</v>
      </c>
      <c r="B61" s="1">
        <v>45824</v>
      </c>
      <c r="C61">
        <f t="shared" si="0"/>
        <v>2025</v>
      </c>
      <c r="D61" t="str">
        <f>TEXT(Sales_Data[[#This Row],[ Order_Date ]],"mmm")</f>
        <v>Jun</v>
      </c>
      <c r="E61" t="s">
        <v>16</v>
      </c>
      <c r="F61" s="2" t="s">
        <v>76</v>
      </c>
      <c r="G61" t="s">
        <v>119</v>
      </c>
      <c r="H61" t="s">
        <v>122</v>
      </c>
      <c r="I61" t="s">
        <v>125</v>
      </c>
      <c r="J61">
        <v>49629</v>
      </c>
      <c r="K61">
        <f t="shared" si="1"/>
        <v>39703.199999999997</v>
      </c>
      <c r="L61">
        <f t="shared" si="3"/>
        <v>9925.8000000000029</v>
      </c>
      <c r="M61">
        <v>34</v>
      </c>
    </row>
    <row r="62" spans="1:13" x14ac:dyDescent="0.3">
      <c r="A62">
        <v>1001</v>
      </c>
      <c r="B62" s="1">
        <v>45787</v>
      </c>
      <c r="C62">
        <f t="shared" si="0"/>
        <v>2025</v>
      </c>
      <c r="D62" t="str">
        <f>TEXT(Sales_Data[[#This Row],[ Order_Date ]],"mmm")</f>
        <v>May</v>
      </c>
      <c r="E62" t="s">
        <v>13</v>
      </c>
      <c r="F62" s="2" t="s">
        <v>77</v>
      </c>
      <c r="G62" t="s">
        <v>117</v>
      </c>
      <c r="H62" t="s">
        <v>120</v>
      </c>
      <c r="I62" t="s">
        <v>123</v>
      </c>
      <c r="J62">
        <v>20896</v>
      </c>
      <c r="K62">
        <f t="shared" si="1"/>
        <v>16716.8</v>
      </c>
      <c r="L62">
        <f t="shared" si="3"/>
        <v>4179.2000000000007</v>
      </c>
      <c r="M62">
        <v>17</v>
      </c>
    </row>
    <row r="63" spans="1:13" x14ac:dyDescent="0.3">
      <c r="A63">
        <v>1001</v>
      </c>
      <c r="B63" s="1">
        <v>45722</v>
      </c>
      <c r="C63">
        <f t="shared" si="0"/>
        <v>2025</v>
      </c>
      <c r="D63" t="str">
        <f>TEXT(Sales_Data[[#This Row],[ Order_Date ]],"mmm")</f>
        <v>Mar</v>
      </c>
      <c r="E63" t="s">
        <v>14</v>
      </c>
      <c r="F63" s="2" t="s">
        <v>78</v>
      </c>
      <c r="G63" t="s">
        <v>118</v>
      </c>
      <c r="H63" t="s">
        <v>121</v>
      </c>
      <c r="I63" t="s">
        <v>124</v>
      </c>
      <c r="J63">
        <v>23751</v>
      </c>
      <c r="K63">
        <f t="shared" si="1"/>
        <v>19000.8</v>
      </c>
      <c r="L63">
        <f t="shared" si="3"/>
        <v>4750.2000000000007</v>
      </c>
      <c r="M63">
        <v>49</v>
      </c>
    </row>
    <row r="64" spans="1:13" x14ac:dyDescent="0.3">
      <c r="A64">
        <v>1001</v>
      </c>
      <c r="B64" s="1">
        <v>45842</v>
      </c>
      <c r="C64">
        <f t="shared" si="0"/>
        <v>2025</v>
      </c>
      <c r="D64" t="str">
        <f>TEXT(Sales_Data[[#This Row],[ Order_Date ]],"mmm")</f>
        <v>Jul</v>
      </c>
      <c r="E64" t="s">
        <v>15</v>
      </c>
      <c r="F64" s="2" t="s">
        <v>79</v>
      </c>
      <c r="G64" t="s">
        <v>119</v>
      </c>
      <c r="H64" t="s">
        <v>122</v>
      </c>
      <c r="I64" t="s">
        <v>125</v>
      </c>
      <c r="J64">
        <v>22052</v>
      </c>
      <c r="K64">
        <f t="shared" si="1"/>
        <v>17641.599999999999</v>
      </c>
      <c r="L64">
        <f t="shared" si="3"/>
        <v>4410.4000000000015</v>
      </c>
      <c r="M64">
        <v>17</v>
      </c>
    </row>
    <row r="65" spans="1:13" x14ac:dyDescent="0.3">
      <c r="A65">
        <v>1001</v>
      </c>
      <c r="B65" s="1">
        <v>45905</v>
      </c>
      <c r="C65">
        <f t="shared" si="0"/>
        <v>2025</v>
      </c>
      <c r="D65" t="str">
        <f>TEXT(Sales_Data[[#This Row],[ Order_Date ]],"mmm")</f>
        <v>Sep</v>
      </c>
      <c r="E65" t="s">
        <v>16</v>
      </c>
      <c r="F65" s="2" t="s">
        <v>80</v>
      </c>
      <c r="G65" t="s">
        <v>117</v>
      </c>
      <c r="H65" t="s">
        <v>120</v>
      </c>
      <c r="I65" t="s">
        <v>123</v>
      </c>
      <c r="J65">
        <v>38268</v>
      </c>
      <c r="K65">
        <f t="shared" si="1"/>
        <v>30614.400000000001</v>
      </c>
      <c r="L65">
        <f t="shared" si="3"/>
        <v>7653.5999999999985</v>
      </c>
      <c r="M65">
        <v>45</v>
      </c>
    </row>
    <row r="66" spans="1:13" x14ac:dyDescent="0.3">
      <c r="A66">
        <v>1001</v>
      </c>
      <c r="B66" s="1">
        <v>45813</v>
      </c>
      <c r="C66">
        <f t="shared" si="0"/>
        <v>2025</v>
      </c>
      <c r="D66" t="str">
        <f>TEXT(Sales_Data[[#This Row],[ Order_Date ]],"mmm")</f>
        <v>Jun</v>
      </c>
      <c r="E66" t="s">
        <v>13</v>
      </c>
      <c r="F66" s="2" t="s">
        <v>81</v>
      </c>
      <c r="G66" t="s">
        <v>118</v>
      </c>
      <c r="H66" t="s">
        <v>121</v>
      </c>
      <c r="I66" t="s">
        <v>124</v>
      </c>
      <c r="J66">
        <v>37932</v>
      </c>
      <c r="K66">
        <f t="shared" si="1"/>
        <v>30345.599999999999</v>
      </c>
      <c r="L66">
        <f t="shared" si="3"/>
        <v>7586.4000000000015</v>
      </c>
      <c r="M66">
        <v>24</v>
      </c>
    </row>
    <row r="67" spans="1:13" x14ac:dyDescent="0.3">
      <c r="A67">
        <v>1001</v>
      </c>
      <c r="B67" s="1">
        <v>45955</v>
      </c>
      <c r="C67">
        <f t="shared" ref="C67:C101" si="4">YEAR(B67)</f>
        <v>2025</v>
      </c>
      <c r="D67" t="str">
        <f>TEXT(Sales_Data[[#This Row],[ Order_Date ]],"mmm")</f>
        <v>Oct</v>
      </c>
      <c r="E67" t="s">
        <v>14</v>
      </c>
      <c r="F67" s="2" t="s">
        <v>82</v>
      </c>
      <c r="G67" t="s">
        <v>119</v>
      </c>
      <c r="H67" t="s">
        <v>122</v>
      </c>
      <c r="I67" t="s">
        <v>125</v>
      </c>
      <c r="J67">
        <v>13389</v>
      </c>
      <c r="K67">
        <f t="shared" ref="K67:K101" si="5">J67*80/100</f>
        <v>10711.2</v>
      </c>
      <c r="L67">
        <f t="shared" si="3"/>
        <v>2677.7999999999993</v>
      </c>
      <c r="M67">
        <v>43</v>
      </c>
    </row>
    <row r="68" spans="1:13" x14ac:dyDescent="0.3">
      <c r="A68">
        <v>1001</v>
      </c>
      <c r="B68" s="1">
        <v>45854</v>
      </c>
      <c r="C68">
        <f t="shared" si="4"/>
        <v>2025</v>
      </c>
      <c r="D68" t="str">
        <f>TEXT(Sales_Data[[#This Row],[ Order_Date ]],"mmm")</f>
        <v>Jul</v>
      </c>
      <c r="E68" t="s">
        <v>15</v>
      </c>
      <c r="F68" s="2" t="s">
        <v>83</v>
      </c>
      <c r="G68" t="s">
        <v>117</v>
      </c>
      <c r="H68" t="s">
        <v>120</v>
      </c>
      <c r="I68" t="s">
        <v>123</v>
      </c>
      <c r="J68">
        <v>29179</v>
      </c>
      <c r="K68">
        <f t="shared" si="5"/>
        <v>23343.200000000001</v>
      </c>
      <c r="L68">
        <f t="shared" si="3"/>
        <v>5835.7999999999993</v>
      </c>
      <c r="M68">
        <v>33</v>
      </c>
    </row>
    <row r="69" spans="1:13" x14ac:dyDescent="0.3">
      <c r="A69">
        <v>1001</v>
      </c>
      <c r="B69" s="1">
        <v>45755</v>
      </c>
      <c r="C69">
        <f t="shared" si="4"/>
        <v>2025</v>
      </c>
      <c r="D69" t="str">
        <f>TEXT(Sales_Data[[#This Row],[ Order_Date ]],"mmm")</f>
        <v>Apr</v>
      </c>
      <c r="E69" t="s">
        <v>16</v>
      </c>
      <c r="F69" s="2" t="s">
        <v>84</v>
      </c>
      <c r="G69" t="s">
        <v>118</v>
      </c>
      <c r="H69" t="s">
        <v>121</v>
      </c>
      <c r="I69" t="s">
        <v>124</v>
      </c>
      <c r="J69">
        <v>38462</v>
      </c>
      <c r="K69">
        <f t="shared" si="5"/>
        <v>30769.599999999999</v>
      </c>
      <c r="L69">
        <f t="shared" si="3"/>
        <v>7692.4000000000015</v>
      </c>
      <c r="M69">
        <v>3</v>
      </c>
    </row>
    <row r="70" spans="1:13" x14ac:dyDescent="0.3">
      <c r="A70">
        <v>1001</v>
      </c>
      <c r="B70" s="1">
        <v>45955</v>
      </c>
      <c r="C70">
        <f t="shared" si="4"/>
        <v>2025</v>
      </c>
      <c r="D70" t="str">
        <f>TEXT(Sales_Data[[#This Row],[ Order_Date ]],"mmm")</f>
        <v>Oct</v>
      </c>
      <c r="E70" t="s">
        <v>13</v>
      </c>
      <c r="F70" s="2" t="s">
        <v>85</v>
      </c>
      <c r="G70" t="s">
        <v>119</v>
      </c>
      <c r="H70" t="s">
        <v>122</v>
      </c>
      <c r="I70" t="s">
        <v>125</v>
      </c>
      <c r="J70">
        <v>27865</v>
      </c>
      <c r="K70">
        <f t="shared" si="5"/>
        <v>22292</v>
      </c>
      <c r="L70">
        <f t="shared" ref="L70:L101" si="6">J70-K70</f>
        <v>5573</v>
      </c>
      <c r="M70">
        <v>4</v>
      </c>
    </row>
    <row r="71" spans="1:13" x14ac:dyDescent="0.3">
      <c r="A71">
        <v>1001</v>
      </c>
      <c r="B71" s="1">
        <v>45826</v>
      </c>
      <c r="C71">
        <f t="shared" si="4"/>
        <v>2025</v>
      </c>
      <c r="D71" t="str">
        <f>TEXT(Sales_Data[[#This Row],[ Order_Date ]],"mmm")</f>
        <v>Jun</v>
      </c>
      <c r="E71" t="s">
        <v>14</v>
      </c>
      <c r="F71" s="2" t="s">
        <v>86</v>
      </c>
      <c r="G71" t="s">
        <v>117</v>
      </c>
      <c r="H71" t="s">
        <v>120</v>
      </c>
      <c r="I71" t="s">
        <v>123</v>
      </c>
      <c r="J71">
        <v>23308</v>
      </c>
      <c r="K71">
        <f t="shared" si="5"/>
        <v>18646.400000000001</v>
      </c>
      <c r="L71">
        <f t="shared" si="6"/>
        <v>4661.5999999999985</v>
      </c>
      <c r="M71">
        <v>49</v>
      </c>
    </row>
    <row r="72" spans="1:13" x14ac:dyDescent="0.3">
      <c r="A72">
        <v>1001</v>
      </c>
      <c r="B72" s="1">
        <v>45862</v>
      </c>
      <c r="C72">
        <f t="shared" si="4"/>
        <v>2025</v>
      </c>
      <c r="D72" t="str">
        <f>TEXT(Sales_Data[[#This Row],[ Order_Date ]],"mmm")</f>
        <v>Jul</v>
      </c>
      <c r="E72" t="s">
        <v>15</v>
      </c>
      <c r="F72" s="2" t="s">
        <v>87</v>
      </c>
      <c r="G72" t="s">
        <v>118</v>
      </c>
      <c r="H72" t="s">
        <v>121</v>
      </c>
      <c r="I72" t="s">
        <v>124</v>
      </c>
      <c r="J72">
        <v>38564</v>
      </c>
      <c r="K72">
        <f t="shared" si="5"/>
        <v>30851.200000000001</v>
      </c>
      <c r="L72">
        <f t="shared" si="6"/>
        <v>7712.7999999999993</v>
      </c>
      <c r="M72">
        <v>30</v>
      </c>
    </row>
    <row r="73" spans="1:13" x14ac:dyDescent="0.3">
      <c r="A73">
        <v>1001</v>
      </c>
      <c r="B73" s="1">
        <v>45823</v>
      </c>
      <c r="C73">
        <f t="shared" si="4"/>
        <v>2025</v>
      </c>
      <c r="D73" t="str">
        <f>TEXT(Sales_Data[[#This Row],[ Order_Date ]],"mmm")</f>
        <v>Jun</v>
      </c>
      <c r="E73" t="s">
        <v>16</v>
      </c>
      <c r="F73" s="2" t="s">
        <v>88</v>
      </c>
      <c r="G73" t="s">
        <v>119</v>
      </c>
      <c r="H73" t="s">
        <v>122</v>
      </c>
      <c r="I73" t="s">
        <v>125</v>
      </c>
      <c r="J73">
        <v>47574</v>
      </c>
      <c r="K73">
        <f t="shared" si="5"/>
        <v>38059.199999999997</v>
      </c>
      <c r="L73">
        <f t="shared" si="6"/>
        <v>9514.8000000000029</v>
      </c>
      <c r="M73">
        <v>39</v>
      </c>
    </row>
    <row r="74" spans="1:13" x14ac:dyDescent="0.3">
      <c r="A74">
        <v>1001</v>
      </c>
      <c r="B74" s="1">
        <v>45979</v>
      </c>
      <c r="C74">
        <f t="shared" si="4"/>
        <v>2025</v>
      </c>
      <c r="D74" t="str">
        <f>TEXT(Sales_Data[[#This Row],[ Order_Date ]],"mmm")</f>
        <v>Nov</v>
      </c>
      <c r="E74" t="s">
        <v>13</v>
      </c>
      <c r="F74" s="2" t="s">
        <v>89</v>
      </c>
      <c r="G74" t="s">
        <v>117</v>
      </c>
      <c r="H74" t="s">
        <v>120</v>
      </c>
      <c r="I74" t="s">
        <v>123</v>
      </c>
      <c r="J74">
        <v>38569</v>
      </c>
      <c r="K74">
        <f t="shared" si="5"/>
        <v>30855.200000000001</v>
      </c>
      <c r="L74">
        <f t="shared" si="6"/>
        <v>7713.7999999999993</v>
      </c>
      <c r="M74">
        <v>44</v>
      </c>
    </row>
    <row r="75" spans="1:13" x14ac:dyDescent="0.3">
      <c r="A75">
        <v>1001</v>
      </c>
      <c r="B75" s="1">
        <v>45659</v>
      </c>
      <c r="C75">
        <f t="shared" si="4"/>
        <v>2025</v>
      </c>
      <c r="D75" t="str">
        <f>TEXT(Sales_Data[[#This Row],[ Order_Date ]],"mmm")</f>
        <v>Jan</v>
      </c>
      <c r="E75" t="s">
        <v>14</v>
      </c>
      <c r="F75" s="2" t="s">
        <v>90</v>
      </c>
      <c r="G75" t="s">
        <v>118</v>
      </c>
      <c r="H75" t="s">
        <v>121</v>
      </c>
      <c r="I75" t="s">
        <v>124</v>
      </c>
      <c r="J75">
        <v>27887</v>
      </c>
      <c r="K75">
        <f t="shared" si="5"/>
        <v>22309.599999999999</v>
      </c>
      <c r="L75">
        <f t="shared" si="6"/>
        <v>5577.4000000000015</v>
      </c>
      <c r="M75">
        <v>40</v>
      </c>
    </row>
    <row r="76" spans="1:13" x14ac:dyDescent="0.3">
      <c r="A76">
        <v>1001</v>
      </c>
      <c r="B76" s="1">
        <v>45929</v>
      </c>
      <c r="C76">
        <f t="shared" si="4"/>
        <v>2025</v>
      </c>
      <c r="D76" t="str">
        <f>TEXT(Sales_Data[[#This Row],[ Order_Date ]],"mmm")</f>
        <v>Sep</v>
      </c>
      <c r="E76" t="s">
        <v>15</v>
      </c>
      <c r="F76" s="2" t="s">
        <v>91</v>
      </c>
      <c r="G76" t="s">
        <v>119</v>
      </c>
      <c r="H76" t="s">
        <v>122</v>
      </c>
      <c r="I76" t="s">
        <v>125</v>
      </c>
      <c r="J76">
        <v>14661</v>
      </c>
      <c r="K76">
        <f t="shared" si="5"/>
        <v>11728.8</v>
      </c>
      <c r="L76">
        <f t="shared" si="6"/>
        <v>2932.2000000000007</v>
      </c>
      <c r="M76">
        <v>5</v>
      </c>
    </row>
    <row r="77" spans="1:13" x14ac:dyDescent="0.3">
      <c r="A77">
        <v>1001</v>
      </c>
      <c r="B77" s="1">
        <v>45697</v>
      </c>
      <c r="C77">
        <f t="shared" si="4"/>
        <v>2025</v>
      </c>
      <c r="D77" t="str">
        <f>TEXT(Sales_Data[[#This Row],[ Order_Date ]],"mmm")</f>
        <v>Feb</v>
      </c>
      <c r="E77" t="s">
        <v>16</v>
      </c>
      <c r="F77" s="2" t="s">
        <v>92</v>
      </c>
      <c r="G77" t="s">
        <v>117</v>
      </c>
      <c r="H77" t="s">
        <v>120</v>
      </c>
      <c r="I77" t="s">
        <v>123</v>
      </c>
      <c r="J77">
        <v>33151</v>
      </c>
      <c r="K77">
        <f t="shared" si="5"/>
        <v>26520.799999999999</v>
      </c>
      <c r="L77">
        <f t="shared" si="6"/>
        <v>6630.2000000000007</v>
      </c>
      <c r="M77">
        <v>45</v>
      </c>
    </row>
    <row r="78" spans="1:13" x14ac:dyDescent="0.3">
      <c r="A78">
        <v>1001</v>
      </c>
      <c r="B78" s="1">
        <v>45951</v>
      </c>
      <c r="C78">
        <f t="shared" si="4"/>
        <v>2025</v>
      </c>
      <c r="D78" t="str">
        <f>TEXT(Sales_Data[[#This Row],[ Order_Date ]],"mmm")</f>
        <v>Oct</v>
      </c>
      <c r="E78" t="s">
        <v>13</v>
      </c>
      <c r="F78" s="2" t="s">
        <v>93</v>
      </c>
      <c r="G78" t="s">
        <v>118</v>
      </c>
      <c r="H78" t="s">
        <v>121</v>
      </c>
      <c r="I78" t="s">
        <v>124</v>
      </c>
      <c r="J78">
        <v>19079</v>
      </c>
      <c r="K78">
        <f t="shared" si="5"/>
        <v>15263.2</v>
      </c>
      <c r="L78">
        <f t="shared" si="6"/>
        <v>3815.7999999999993</v>
      </c>
      <c r="M78">
        <v>6</v>
      </c>
    </row>
    <row r="79" spans="1:13" x14ac:dyDescent="0.3">
      <c r="A79">
        <v>1001</v>
      </c>
      <c r="B79" s="1">
        <v>45939</v>
      </c>
      <c r="C79">
        <f t="shared" si="4"/>
        <v>2025</v>
      </c>
      <c r="D79" t="str">
        <f>TEXT(Sales_Data[[#This Row],[ Order_Date ]],"mmm")</f>
        <v>Oct</v>
      </c>
      <c r="E79" t="s">
        <v>14</v>
      </c>
      <c r="F79" s="2" t="s">
        <v>94</v>
      </c>
      <c r="G79" t="s">
        <v>119</v>
      </c>
      <c r="H79" t="s">
        <v>122</v>
      </c>
      <c r="I79" t="s">
        <v>125</v>
      </c>
      <c r="J79">
        <v>22981</v>
      </c>
      <c r="K79">
        <f t="shared" si="5"/>
        <v>18384.8</v>
      </c>
      <c r="L79">
        <f t="shared" si="6"/>
        <v>4596.2000000000007</v>
      </c>
      <c r="M79">
        <v>7</v>
      </c>
    </row>
    <row r="80" spans="1:13" x14ac:dyDescent="0.3">
      <c r="A80">
        <v>1001</v>
      </c>
      <c r="B80" s="1">
        <v>45771</v>
      </c>
      <c r="C80">
        <f t="shared" si="4"/>
        <v>2025</v>
      </c>
      <c r="D80" t="str">
        <f>TEXT(Sales_Data[[#This Row],[ Order_Date ]],"mmm")</f>
        <v>Apr</v>
      </c>
      <c r="E80" t="s">
        <v>15</v>
      </c>
      <c r="F80" s="2" t="s">
        <v>95</v>
      </c>
      <c r="G80" t="s">
        <v>117</v>
      </c>
      <c r="H80" t="s">
        <v>120</v>
      </c>
      <c r="I80" t="s">
        <v>123</v>
      </c>
      <c r="J80">
        <v>10099</v>
      </c>
      <c r="K80">
        <f t="shared" si="5"/>
        <v>8079.2</v>
      </c>
      <c r="L80">
        <f t="shared" si="6"/>
        <v>2019.8000000000002</v>
      </c>
      <c r="M80">
        <v>43</v>
      </c>
    </row>
    <row r="81" spans="1:13" x14ac:dyDescent="0.3">
      <c r="A81">
        <v>1001</v>
      </c>
      <c r="B81" s="1">
        <v>45815</v>
      </c>
      <c r="C81">
        <f t="shared" si="4"/>
        <v>2025</v>
      </c>
      <c r="D81" t="str">
        <f>TEXT(Sales_Data[[#This Row],[ Order_Date ]],"mmm")</f>
        <v>Jun</v>
      </c>
      <c r="E81" t="s">
        <v>16</v>
      </c>
      <c r="F81" s="2" t="s">
        <v>96</v>
      </c>
      <c r="G81" t="s">
        <v>118</v>
      </c>
      <c r="H81" t="s">
        <v>121</v>
      </c>
      <c r="I81" t="s">
        <v>124</v>
      </c>
      <c r="J81">
        <v>36058</v>
      </c>
      <c r="K81">
        <f t="shared" si="5"/>
        <v>28846.400000000001</v>
      </c>
      <c r="L81">
        <f t="shared" si="6"/>
        <v>7211.5999999999985</v>
      </c>
      <c r="M81">
        <v>31</v>
      </c>
    </row>
    <row r="82" spans="1:13" x14ac:dyDescent="0.3">
      <c r="A82">
        <v>1001</v>
      </c>
      <c r="B82" s="1">
        <v>45708</v>
      </c>
      <c r="C82">
        <f t="shared" si="4"/>
        <v>2025</v>
      </c>
      <c r="D82" t="str">
        <f>TEXT(Sales_Data[[#This Row],[ Order_Date ]],"mmm")</f>
        <v>Feb</v>
      </c>
      <c r="E82" t="s">
        <v>13</v>
      </c>
      <c r="F82" s="2" t="s">
        <v>97</v>
      </c>
      <c r="G82" t="s">
        <v>119</v>
      </c>
      <c r="H82" t="s">
        <v>122</v>
      </c>
      <c r="I82" t="s">
        <v>125</v>
      </c>
      <c r="J82">
        <v>47343</v>
      </c>
      <c r="K82">
        <f t="shared" si="5"/>
        <v>37874.400000000001</v>
      </c>
      <c r="L82">
        <f t="shared" si="6"/>
        <v>9468.5999999999985</v>
      </c>
      <c r="M82">
        <v>33</v>
      </c>
    </row>
    <row r="83" spans="1:13" x14ac:dyDescent="0.3">
      <c r="A83">
        <v>1001</v>
      </c>
      <c r="B83" s="1">
        <v>45843</v>
      </c>
      <c r="C83">
        <f t="shared" si="4"/>
        <v>2025</v>
      </c>
      <c r="D83" t="str">
        <f>TEXT(Sales_Data[[#This Row],[ Order_Date ]],"mmm")</f>
        <v>Jul</v>
      </c>
      <c r="E83" t="s">
        <v>14</v>
      </c>
      <c r="F83" s="2" t="s">
        <v>98</v>
      </c>
      <c r="G83" t="s">
        <v>117</v>
      </c>
      <c r="H83" t="s">
        <v>120</v>
      </c>
      <c r="I83" t="s">
        <v>123</v>
      </c>
      <c r="J83">
        <v>22102</v>
      </c>
      <c r="K83">
        <f t="shared" si="5"/>
        <v>17681.599999999999</v>
      </c>
      <c r="L83">
        <f t="shared" si="6"/>
        <v>4420.4000000000015</v>
      </c>
      <c r="M83">
        <v>18</v>
      </c>
    </row>
    <row r="84" spans="1:13" x14ac:dyDescent="0.3">
      <c r="A84">
        <v>1001</v>
      </c>
      <c r="B84" s="1">
        <v>45718</v>
      </c>
      <c r="C84">
        <f t="shared" si="4"/>
        <v>2025</v>
      </c>
      <c r="D84" t="str">
        <f>TEXT(Sales_Data[[#This Row],[ Order_Date ]],"mmm")</f>
        <v>Mar</v>
      </c>
      <c r="E84" t="s">
        <v>15</v>
      </c>
      <c r="F84" s="2" t="s">
        <v>99</v>
      </c>
      <c r="G84" t="s">
        <v>118</v>
      </c>
      <c r="H84" t="s">
        <v>121</v>
      </c>
      <c r="I84" t="s">
        <v>124</v>
      </c>
      <c r="J84">
        <v>17230</v>
      </c>
      <c r="K84">
        <f t="shared" si="5"/>
        <v>13784</v>
      </c>
      <c r="L84">
        <f t="shared" si="6"/>
        <v>3446</v>
      </c>
      <c r="M84">
        <v>6</v>
      </c>
    </row>
    <row r="85" spans="1:13" x14ac:dyDescent="0.3">
      <c r="A85">
        <v>1001</v>
      </c>
      <c r="B85" s="1">
        <v>45989</v>
      </c>
      <c r="C85">
        <f t="shared" si="4"/>
        <v>2025</v>
      </c>
      <c r="D85" t="str">
        <f>TEXT(Sales_Data[[#This Row],[ Order_Date ]],"mmm")</f>
        <v>Nov</v>
      </c>
      <c r="E85" t="s">
        <v>16</v>
      </c>
      <c r="F85" s="2" t="s">
        <v>100</v>
      </c>
      <c r="G85" t="s">
        <v>119</v>
      </c>
      <c r="H85" t="s">
        <v>122</v>
      </c>
      <c r="I85" t="s">
        <v>125</v>
      </c>
      <c r="J85">
        <v>36061</v>
      </c>
      <c r="K85">
        <f t="shared" si="5"/>
        <v>28848.799999999999</v>
      </c>
      <c r="L85">
        <f t="shared" si="6"/>
        <v>7212.2000000000007</v>
      </c>
      <c r="M85">
        <v>2</v>
      </c>
    </row>
    <row r="86" spans="1:13" x14ac:dyDescent="0.3">
      <c r="A86">
        <v>1001</v>
      </c>
      <c r="B86" s="1">
        <v>46021</v>
      </c>
      <c r="C86">
        <f t="shared" si="4"/>
        <v>2025</v>
      </c>
      <c r="D86" t="str">
        <f>TEXT(Sales_Data[[#This Row],[ Order_Date ]],"mmm")</f>
        <v>Dec</v>
      </c>
      <c r="E86" t="s">
        <v>13</v>
      </c>
      <c r="F86" s="2" t="s">
        <v>101</v>
      </c>
      <c r="G86" t="s">
        <v>117</v>
      </c>
      <c r="H86" t="s">
        <v>120</v>
      </c>
      <c r="I86" t="s">
        <v>123</v>
      </c>
      <c r="J86">
        <v>46321</v>
      </c>
      <c r="K86">
        <f t="shared" si="5"/>
        <v>37056.800000000003</v>
      </c>
      <c r="L86">
        <f t="shared" si="6"/>
        <v>9264.1999999999971</v>
      </c>
      <c r="M86">
        <v>16</v>
      </c>
    </row>
    <row r="87" spans="1:13" x14ac:dyDescent="0.3">
      <c r="A87">
        <v>1001</v>
      </c>
      <c r="B87" s="1">
        <v>45846</v>
      </c>
      <c r="C87">
        <f t="shared" si="4"/>
        <v>2025</v>
      </c>
      <c r="D87" t="str">
        <f>TEXT(Sales_Data[[#This Row],[ Order_Date ]],"mmm")</f>
        <v>Jul</v>
      </c>
      <c r="E87" t="s">
        <v>14</v>
      </c>
      <c r="F87" s="2" t="s">
        <v>102</v>
      </c>
      <c r="G87" t="s">
        <v>118</v>
      </c>
      <c r="H87" t="s">
        <v>121</v>
      </c>
      <c r="I87" t="s">
        <v>124</v>
      </c>
      <c r="J87">
        <v>42712</v>
      </c>
      <c r="K87">
        <f t="shared" si="5"/>
        <v>34169.599999999999</v>
      </c>
      <c r="L87">
        <f t="shared" si="6"/>
        <v>8542.4000000000015</v>
      </c>
      <c r="M87">
        <v>31</v>
      </c>
    </row>
    <row r="88" spans="1:13" x14ac:dyDescent="0.3">
      <c r="A88">
        <v>1001</v>
      </c>
      <c r="B88" s="1">
        <v>45851</v>
      </c>
      <c r="C88">
        <f t="shared" si="4"/>
        <v>2025</v>
      </c>
      <c r="D88" t="str">
        <f>TEXT(Sales_Data[[#This Row],[ Order_Date ]],"mmm")</f>
        <v>Jul</v>
      </c>
      <c r="E88" t="s">
        <v>15</v>
      </c>
      <c r="F88" s="2" t="s">
        <v>103</v>
      </c>
      <c r="G88" t="s">
        <v>119</v>
      </c>
      <c r="H88" t="s">
        <v>122</v>
      </c>
      <c r="I88" t="s">
        <v>125</v>
      </c>
      <c r="J88">
        <v>31321</v>
      </c>
      <c r="K88">
        <f t="shared" si="5"/>
        <v>25056.799999999999</v>
      </c>
      <c r="L88">
        <f t="shared" si="6"/>
        <v>6264.2000000000007</v>
      </c>
      <c r="M88">
        <v>32</v>
      </c>
    </row>
    <row r="89" spans="1:13" x14ac:dyDescent="0.3">
      <c r="A89">
        <v>1001</v>
      </c>
      <c r="B89" s="1">
        <v>45910</v>
      </c>
      <c r="C89">
        <f t="shared" si="4"/>
        <v>2025</v>
      </c>
      <c r="D89" t="str">
        <f>TEXT(Sales_Data[[#This Row],[ Order_Date ]],"mmm")</f>
        <v>Sep</v>
      </c>
      <c r="E89" t="s">
        <v>16</v>
      </c>
      <c r="F89" s="2" t="s">
        <v>104</v>
      </c>
      <c r="G89" t="s">
        <v>117</v>
      </c>
      <c r="H89" t="s">
        <v>120</v>
      </c>
      <c r="I89" t="s">
        <v>123</v>
      </c>
      <c r="J89">
        <v>27667</v>
      </c>
      <c r="K89">
        <f t="shared" si="5"/>
        <v>22133.599999999999</v>
      </c>
      <c r="L89">
        <f t="shared" si="6"/>
        <v>5533.4000000000015</v>
      </c>
      <c r="M89">
        <v>22</v>
      </c>
    </row>
    <row r="90" spans="1:13" x14ac:dyDescent="0.3">
      <c r="A90">
        <v>1001</v>
      </c>
      <c r="B90" s="1">
        <v>45658</v>
      </c>
      <c r="C90">
        <f t="shared" si="4"/>
        <v>2025</v>
      </c>
      <c r="D90" t="str">
        <f>TEXT(Sales_Data[[#This Row],[ Order_Date ]],"mmm")</f>
        <v>Jan</v>
      </c>
      <c r="E90" t="s">
        <v>13</v>
      </c>
      <c r="F90" s="2" t="s">
        <v>105</v>
      </c>
      <c r="G90" t="s">
        <v>118</v>
      </c>
      <c r="H90" t="s">
        <v>121</v>
      </c>
      <c r="I90" t="s">
        <v>124</v>
      </c>
      <c r="J90">
        <v>30314</v>
      </c>
      <c r="K90">
        <f t="shared" si="5"/>
        <v>24251.200000000001</v>
      </c>
      <c r="L90">
        <f t="shared" si="6"/>
        <v>6062.7999999999993</v>
      </c>
      <c r="M90">
        <v>16</v>
      </c>
    </row>
    <row r="91" spans="1:13" x14ac:dyDescent="0.3">
      <c r="A91">
        <v>1001</v>
      </c>
      <c r="B91" s="1">
        <v>45796</v>
      </c>
      <c r="C91">
        <f t="shared" si="4"/>
        <v>2025</v>
      </c>
      <c r="D91" t="str">
        <f>TEXT(Sales_Data[[#This Row],[ Order_Date ]],"mmm")</f>
        <v>May</v>
      </c>
      <c r="E91" t="s">
        <v>14</v>
      </c>
      <c r="F91" s="2" t="s">
        <v>106</v>
      </c>
      <c r="G91" t="s">
        <v>119</v>
      </c>
      <c r="H91" t="s">
        <v>122</v>
      </c>
      <c r="I91" t="s">
        <v>125</v>
      </c>
      <c r="J91">
        <v>46473</v>
      </c>
      <c r="K91">
        <f t="shared" si="5"/>
        <v>37178.400000000001</v>
      </c>
      <c r="L91">
        <f t="shared" si="6"/>
        <v>9294.5999999999985</v>
      </c>
      <c r="M91">
        <v>45</v>
      </c>
    </row>
    <row r="92" spans="1:13" x14ac:dyDescent="0.3">
      <c r="A92">
        <v>1001</v>
      </c>
      <c r="B92" s="1">
        <v>45738</v>
      </c>
      <c r="C92">
        <f t="shared" si="4"/>
        <v>2025</v>
      </c>
      <c r="D92" t="str">
        <f>TEXT(Sales_Data[[#This Row],[ Order_Date ]],"mmm")</f>
        <v>Mar</v>
      </c>
      <c r="E92" t="s">
        <v>15</v>
      </c>
      <c r="F92" s="2" t="s">
        <v>107</v>
      </c>
      <c r="G92" t="s">
        <v>117</v>
      </c>
      <c r="H92" t="s">
        <v>120</v>
      </c>
      <c r="I92" t="s">
        <v>123</v>
      </c>
      <c r="J92">
        <v>17868</v>
      </c>
      <c r="K92">
        <f t="shared" si="5"/>
        <v>14294.4</v>
      </c>
      <c r="L92">
        <f t="shared" si="6"/>
        <v>3573.6000000000004</v>
      </c>
      <c r="M92">
        <v>49</v>
      </c>
    </row>
    <row r="93" spans="1:13" x14ac:dyDescent="0.3">
      <c r="A93">
        <v>1001</v>
      </c>
      <c r="B93" s="1">
        <v>45667</v>
      </c>
      <c r="C93">
        <f t="shared" si="4"/>
        <v>2025</v>
      </c>
      <c r="D93" t="str">
        <f>TEXT(Sales_Data[[#This Row],[ Order_Date ]],"mmm")</f>
        <v>Jan</v>
      </c>
      <c r="E93" t="s">
        <v>16</v>
      </c>
      <c r="F93" s="2" t="s">
        <v>108</v>
      </c>
      <c r="G93" t="s">
        <v>118</v>
      </c>
      <c r="H93" t="s">
        <v>121</v>
      </c>
      <c r="I93" t="s">
        <v>124</v>
      </c>
      <c r="J93">
        <v>29114</v>
      </c>
      <c r="K93">
        <f t="shared" si="5"/>
        <v>23291.200000000001</v>
      </c>
      <c r="L93">
        <f t="shared" si="6"/>
        <v>5822.7999999999993</v>
      </c>
      <c r="M93">
        <v>9</v>
      </c>
    </row>
    <row r="94" spans="1:13" x14ac:dyDescent="0.3">
      <c r="A94">
        <v>1001</v>
      </c>
      <c r="B94" s="1">
        <v>45687</v>
      </c>
      <c r="C94">
        <f t="shared" si="4"/>
        <v>2025</v>
      </c>
      <c r="D94" t="str">
        <f>TEXT(Sales_Data[[#This Row],[ Order_Date ]],"mmm")</f>
        <v>Jan</v>
      </c>
      <c r="E94" t="s">
        <v>13</v>
      </c>
      <c r="F94" s="2" t="s">
        <v>109</v>
      </c>
      <c r="G94" t="s">
        <v>119</v>
      </c>
      <c r="H94" t="s">
        <v>122</v>
      </c>
      <c r="I94" t="s">
        <v>125</v>
      </c>
      <c r="J94">
        <v>49436</v>
      </c>
      <c r="K94">
        <f t="shared" si="5"/>
        <v>39548.800000000003</v>
      </c>
      <c r="L94">
        <f t="shared" si="6"/>
        <v>9887.1999999999971</v>
      </c>
      <c r="M94">
        <v>46</v>
      </c>
    </row>
    <row r="95" spans="1:13" x14ac:dyDescent="0.3">
      <c r="A95">
        <v>1001</v>
      </c>
      <c r="B95" s="1">
        <v>45948</v>
      </c>
      <c r="C95">
        <f t="shared" si="4"/>
        <v>2025</v>
      </c>
      <c r="D95" t="str">
        <f>TEXT(Sales_Data[[#This Row],[ Order_Date ]],"mmm")</f>
        <v>Oct</v>
      </c>
      <c r="E95" t="s">
        <v>14</v>
      </c>
      <c r="F95" s="2" t="s">
        <v>110</v>
      </c>
      <c r="G95" t="s">
        <v>117</v>
      </c>
      <c r="H95" t="s">
        <v>120</v>
      </c>
      <c r="I95" t="s">
        <v>123</v>
      </c>
      <c r="J95">
        <v>34633</v>
      </c>
      <c r="K95">
        <f t="shared" si="5"/>
        <v>27706.400000000001</v>
      </c>
      <c r="L95">
        <f t="shared" si="6"/>
        <v>6926.5999999999985</v>
      </c>
      <c r="M95">
        <v>47</v>
      </c>
    </row>
    <row r="96" spans="1:13" x14ac:dyDescent="0.3">
      <c r="A96">
        <v>1001</v>
      </c>
      <c r="B96" s="1">
        <v>45705</v>
      </c>
      <c r="C96">
        <f t="shared" si="4"/>
        <v>2025</v>
      </c>
      <c r="D96" t="str">
        <f>TEXT(Sales_Data[[#This Row],[ Order_Date ]],"mmm")</f>
        <v>Feb</v>
      </c>
      <c r="E96" t="s">
        <v>15</v>
      </c>
      <c r="F96" s="2" t="s">
        <v>111</v>
      </c>
      <c r="G96" t="s">
        <v>118</v>
      </c>
      <c r="H96" t="s">
        <v>121</v>
      </c>
      <c r="I96" t="s">
        <v>124</v>
      </c>
      <c r="J96">
        <v>42884</v>
      </c>
      <c r="K96">
        <f t="shared" si="5"/>
        <v>34307.199999999997</v>
      </c>
      <c r="L96">
        <f t="shared" si="6"/>
        <v>8576.8000000000029</v>
      </c>
      <c r="M96">
        <v>10</v>
      </c>
    </row>
    <row r="97" spans="1:13" x14ac:dyDescent="0.3">
      <c r="A97">
        <v>1001</v>
      </c>
      <c r="B97" s="1">
        <v>45999</v>
      </c>
      <c r="C97">
        <f t="shared" si="4"/>
        <v>2025</v>
      </c>
      <c r="D97" t="str">
        <f>TEXT(Sales_Data[[#This Row],[ Order_Date ]],"mmm")</f>
        <v>Dec</v>
      </c>
      <c r="E97" t="s">
        <v>16</v>
      </c>
      <c r="F97" s="2" t="s">
        <v>112</v>
      </c>
      <c r="G97" t="s">
        <v>119</v>
      </c>
      <c r="H97" t="s">
        <v>122</v>
      </c>
      <c r="I97" t="s">
        <v>125</v>
      </c>
      <c r="J97">
        <v>28005</v>
      </c>
      <c r="K97">
        <f t="shared" si="5"/>
        <v>22404</v>
      </c>
      <c r="L97">
        <f t="shared" si="6"/>
        <v>5601</v>
      </c>
      <c r="M97">
        <v>8</v>
      </c>
    </row>
    <row r="98" spans="1:13" x14ac:dyDescent="0.3">
      <c r="A98">
        <v>1001</v>
      </c>
      <c r="B98" s="1">
        <v>45888</v>
      </c>
      <c r="C98">
        <f t="shared" si="4"/>
        <v>2025</v>
      </c>
      <c r="D98" t="str">
        <f>TEXT(Sales_Data[[#This Row],[ Order_Date ]],"mmm")</f>
        <v>Aug</v>
      </c>
      <c r="E98" t="s">
        <v>13</v>
      </c>
      <c r="F98" s="2" t="s">
        <v>113</v>
      </c>
      <c r="G98" t="s">
        <v>117</v>
      </c>
      <c r="H98" t="s">
        <v>120</v>
      </c>
      <c r="I98" t="s">
        <v>123</v>
      </c>
      <c r="J98">
        <v>48419</v>
      </c>
      <c r="K98">
        <f t="shared" si="5"/>
        <v>38735.199999999997</v>
      </c>
      <c r="L98">
        <f t="shared" si="6"/>
        <v>9683.8000000000029</v>
      </c>
      <c r="M98">
        <v>47</v>
      </c>
    </row>
    <row r="99" spans="1:13" x14ac:dyDescent="0.3">
      <c r="A99">
        <v>1001</v>
      </c>
      <c r="B99" s="1">
        <v>45780</v>
      </c>
      <c r="C99">
        <f t="shared" si="4"/>
        <v>2025</v>
      </c>
      <c r="D99" t="str">
        <f>TEXT(Sales_Data[[#This Row],[ Order_Date ]],"mmm")</f>
        <v>May</v>
      </c>
      <c r="E99" t="s">
        <v>14</v>
      </c>
      <c r="F99" s="2" t="s">
        <v>114</v>
      </c>
      <c r="G99" t="s">
        <v>118</v>
      </c>
      <c r="H99" t="s">
        <v>121</v>
      </c>
      <c r="I99" t="s">
        <v>124</v>
      </c>
      <c r="J99">
        <v>28254</v>
      </c>
      <c r="K99">
        <f t="shared" si="5"/>
        <v>22603.200000000001</v>
      </c>
      <c r="L99">
        <f t="shared" si="6"/>
        <v>5650.7999999999993</v>
      </c>
      <c r="M99">
        <v>47</v>
      </c>
    </row>
    <row r="100" spans="1:13" x14ac:dyDescent="0.3">
      <c r="A100">
        <v>1001</v>
      </c>
      <c r="B100" s="1">
        <v>45787</v>
      </c>
      <c r="C100">
        <f t="shared" si="4"/>
        <v>2025</v>
      </c>
      <c r="D100" t="str">
        <f>TEXT(Sales_Data[[#This Row],[ Order_Date ]],"mmm")</f>
        <v>May</v>
      </c>
      <c r="E100" t="s">
        <v>15</v>
      </c>
      <c r="F100" s="2" t="s">
        <v>115</v>
      </c>
      <c r="G100" t="s">
        <v>119</v>
      </c>
      <c r="H100" t="s">
        <v>122</v>
      </c>
      <c r="I100" t="s">
        <v>125</v>
      </c>
      <c r="J100">
        <v>21779</v>
      </c>
      <c r="K100">
        <f t="shared" si="5"/>
        <v>17423.2</v>
      </c>
      <c r="L100">
        <f t="shared" si="6"/>
        <v>4355.7999999999993</v>
      </c>
      <c r="M100">
        <v>31</v>
      </c>
    </row>
    <row r="101" spans="1:13" x14ac:dyDescent="0.3">
      <c r="A101">
        <v>1001</v>
      </c>
      <c r="B101" s="1">
        <v>45786</v>
      </c>
      <c r="C101">
        <f t="shared" si="4"/>
        <v>2025</v>
      </c>
      <c r="D101" t="str">
        <f>TEXT(Sales_Data[[#This Row],[ Order_Date ]],"mmm")</f>
        <v>May</v>
      </c>
      <c r="E101" t="s">
        <v>16</v>
      </c>
      <c r="F101" s="2" t="s">
        <v>116</v>
      </c>
      <c r="G101" t="s">
        <v>117</v>
      </c>
      <c r="H101" t="s">
        <v>120</v>
      </c>
      <c r="I101" t="s">
        <v>123</v>
      </c>
      <c r="J101">
        <v>36783</v>
      </c>
      <c r="K101">
        <f t="shared" si="5"/>
        <v>29426.400000000001</v>
      </c>
      <c r="L101">
        <f t="shared" si="6"/>
        <v>7356.5999999999985</v>
      </c>
      <c r="M101">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FD9DC-2551-405F-8213-7E4F18C1D4B9}">
  <dimension ref="A1:I14"/>
  <sheetViews>
    <sheetView workbookViewId="0">
      <selection activeCell="D14" sqref="D14"/>
    </sheetView>
  </sheetViews>
  <sheetFormatPr defaultRowHeight="14.4" x14ac:dyDescent="0.3"/>
  <cols>
    <col min="1" max="1" width="25.77734375" bestFit="1" customWidth="1"/>
    <col min="2" max="2" width="10.33203125" bestFit="1" customWidth="1"/>
  </cols>
  <sheetData>
    <row r="1" spans="1:9" x14ac:dyDescent="0.3">
      <c r="A1" s="6" t="s">
        <v>126</v>
      </c>
      <c r="B1" s="6">
        <f>SUM(Sales_Data[[ Sales ]])</f>
        <v>3053783</v>
      </c>
    </row>
    <row r="2" spans="1:9" x14ac:dyDescent="0.3">
      <c r="A2" s="6" t="s">
        <v>127</v>
      </c>
      <c r="B2" s="6">
        <f>SUM(Sales_Data[[ Profit ]])</f>
        <v>610756.60000000021</v>
      </c>
    </row>
    <row r="3" spans="1:9" x14ac:dyDescent="0.3">
      <c r="A3" s="6" t="s">
        <v>128</v>
      </c>
      <c r="B3" s="7">
        <f>B2/B1</f>
        <v>0.20000000000000007</v>
      </c>
    </row>
    <row r="4" spans="1:9" x14ac:dyDescent="0.3">
      <c r="A4" s="6" t="s">
        <v>129</v>
      </c>
      <c r="B4" s="6">
        <f ca="1">SUMIFS(Sales_Data[[ Sales ]],Sales_Data [ Order_Date ] ,"&lt;="&amp;TODAY())</f>
        <v>3053783</v>
      </c>
    </row>
    <row r="5" spans="1:9" x14ac:dyDescent="0.3">
      <c r="A5" s="6" t="s">
        <v>145</v>
      </c>
      <c r="B5" s="7">
        <f>SUM(Sales_Data[[ Sales ]]/Sales_Data [ Order_Date ] )</f>
        <v>0.24314238952536824</v>
      </c>
      <c r="I5" s="1"/>
    </row>
    <row r="6" spans="1:9" x14ac:dyDescent="0.3">
      <c r="A6" s="10" t="s">
        <v>146</v>
      </c>
      <c r="B6" s="10" t="str">
        <f>INDEX(Sales_Data[[ Region ]],MATCH(MAX(Sales_Data[[ Sales ]]),Sales_Data[[ Sales ]],0))</f>
        <v>West</v>
      </c>
    </row>
    <row r="7" spans="1:9" x14ac:dyDescent="0.3">
      <c r="A7" s="6" t="s">
        <v>153</v>
      </c>
      <c r="B7" s="7">
        <f>B1/5000000</f>
        <v>0.61075659999999998</v>
      </c>
    </row>
    <row r="8" spans="1:9" x14ac:dyDescent="0.3">
      <c r="A8" s="4"/>
      <c r="B8" s="5"/>
    </row>
    <row r="9" spans="1:9" x14ac:dyDescent="0.3">
      <c r="A9" s="4"/>
      <c r="B9" s="5"/>
    </row>
    <row r="10" spans="1:9" x14ac:dyDescent="0.3">
      <c r="A10" s="8" t="s">
        <v>147</v>
      </c>
      <c r="B10" s="8"/>
    </row>
    <row r="11" spans="1:9" x14ac:dyDescent="0.3">
      <c r="A11" s="9" t="s">
        <v>15</v>
      </c>
      <c r="B11" s="7">
        <f>GETPIVOTDATA("[Measures].[Sum of Sales]",Pivot!$A$3,"[Sales_Data].[Region]","[Sales_Data].[Region].&amp;[East]")/GETPIVOTDATA("[Measures].[Sum of Sales]",Pivot!$A$3)</f>
        <v>0.23784106467289914</v>
      </c>
    </row>
    <row r="12" spans="1:9" x14ac:dyDescent="0.3">
      <c r="A12" s="9" t="s">
        <v>13</v>
      </c>
      <c r="B12" s="7">
        <f>GETPIVOTDATA("[Measures].[Sum of Sales]",Pivot!$A$3,"[Sales_Data].[Region]","[Sales_Data].[Region].&amp;[North]")/GETPIVOTDATA("[Measures].[Sum of Sales]",Pivot!$A$3)</f>
        <v>0.28600394985498312</v>
      </c>
    </row>
    <row r="13" spans="1:9" x14ac:dyDescent="0.3">
      <c r="A13" s="9" t="s">
        <v>14</v>
      </c>
      <c r="B13" s="7">
        <f>GETPIVOTDATA("[Measures].[Sum of Sales]",Pivot!$A$3,"[Sales_Data].[Region]","[Sales_Data].[Region].&amp;[South]")/GETPIVOTDATA("[Measures].[Sum of Sales]",Pivot!$A$3)</f>
        <v>0.23686882794226047</v>
      </c>
    </row>
    <row r="14" spans="1:9" x14ac:dyDescent="0.3">
      <c r="A14" s="9" t="s">
        <v>16</v>
      </c>
      <c r="B14" s="7">
        <f>GETPIVOTDATA("[Measures].[Sum of Sales]",Pivot!$A$3,"[Sales_Data].[Region]","[Sales_Data].[Region].&amp;[West]")/GETPIVOTDATA("[Measures].[Sum of Sales]",Pivot!$A$3)</f>
        <v>0.23928615752985724</v>
      </c>
    </row>
  </sheetData>
  <mergeCells count="1">
    <mergeCell ref="A10:B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49B92-A262-47A7-80A9-3B665678B0F6}">
  <dimension ref="A2:F25"/>
  <sheetViews>
    <sheetView tabSelected="1" workbookViewId="0">
      <selection activeCell="I12" sqref="I12"/>
    </sheetView>
  </sheetViews>
  <sheetFormatPr defaultRowHeight="14.4" x14ac:dyDescent="0.3"/>
  <cols>
    <col min="1" max="1" width="12.5546875" bestFit="1" customWidth="1"/>
    <col min="2" max="2" width="11.6640625" bestFit="1" customWidth="1"/>
    <col min="3" max="3" width="17.21875" bestFit="1" customWidth="1"/>
    <col min="4" max="4" width="19.21875" bestFit="1" customWidth="1"/>
    <col min="5" max="5" width="11.6640625" bestFit="1" customWidth="1"/>
    <col min="6" max="6" width="12.109375" bestFit="1" customWidth="1"/>
    <col min="8" max="8" width="12.5546875" bestFit="1" customWidth="1"/>
    <col min="9" max="9" width="11.6640625" bestFit="1" customWidth="1"/>
    <col min="10" max="10" width="12.109375" bestFit="1" customWidth="1"/>
    <col min="11" max="11" width="12.5546875" bestFit="1" customWidth="1"/>
    <col min="12" max="12" width="11.6640625" bestFit="1" customWidth="1"/>
    <col min="13" max="13" width="12.109375" bestFit="1" customWidth="1"/>
  </cols>
  <sheetData>
    <row r="2" spans="1:5" x14ac:dyDescent="0.3">
      <c r="A2" s="13" t="s">
        <v>148</v>
      </c>
      <c r="B2" s="14"/>
    </row>
    <row r="3" spans="1:5" x14ac:dyDescent="0.3">
      <c r="A3" s="11" t="s">
        <v>131</v>
      </c>
      <c r="B3" s="6" t="s">
        <v>130</v>
      </c>
      <c r="D3" s="13" t="s">
        <v>150</v>
      </c>
      <c r="E3" s="14"/>
    </row>
    <row r="4" spans="1:5" x14ac:dyDescent="0.3">
      <c r="A4" s="9" t="s">
        <v>15</v>
      </c>
      <c r="B4" s="12">
        <v>726315</v>
      </c>
      <c r="D4" s="11" t="s">
        <v>131</v>
      </c>
      <c r="E4" s="6" t="s">
        <v>130</v>
      </c>
    </row>
    <row r="5" spans="1:5" x14ac:dyDescent="0.3">
      <c r="A5" s="9" t="s">
        <v>13</v>
      </c>
      <c r="B5" s="12">
        <v>873394</v>
      </c>
      <c r="D5" s="9" t="s">
        <v>123</v>
      </c>
      <c r="E5" s="12">
        <v>1046196</v>
      </c>
    </row>
    <row r="6" spans="1:5" x14ac:dyDescent="0.3">
      <c r="A6" s="9" t="s">
        <v>14</v>
      </c>
      <c r="B6" s="12">
        <v>723346</v>
      </c>
      <c r="D6" s="9" t="s">
        <v>125</v>
      </c>
      <c r="E6" s="12">
        <v>1023163</v>
      </c>
    </row>
    <row r="7" spans="1:5" x14ac:dyDescent="0.3">
      <c r="A7" s="9" t="s">
        <v>16</v>
      </c>
      <c r="B7" s="12">
        <v>730728</v>
      </c>
      <c r="D7" s="9" t="s">
        <v>124</v>
      </c>
      <c r="E7" s="12">
        <v>984424</v>
      </c>
    </row>
    <row r="8" spans="1:5" x14ac:dyDescent="0.3">
      <c r="A8" s="9" t="s">
        <v>132</v>
      </c>
      <c r="B8" s="12">
        <v>3053783</v>
      </c>
      <c r="C8" s="3"/>
      <c r="D8" s="9" t="s">
        <v>132</v>
      </c>
      <c r="E8" s="12">
        <v>3053783</v>
      </c>
    </row>
    <row r="11" spans="1:5" x14ac:dyDescent="0.3">
      <c r="A11" s="13" t="s">
        <v>149</v>
      </c>
      <c r="B11" s="14"/>
      <c r="D11" s="13" t="s">
        <v>151</v>
      </c>
      <c r="E11" s="14"/>
    </row>
    <row r="12" spans="1:5" x14ac:dyDescent="0.3">
      <c r="A12" s="11" t="s">
        <v>131</v>
      </c>
      <c r="B12" s="6" t="s">
        <v>130</v>
      </c>
      <c r="D12" s="11" t="s">
        <v>131</v>
      </c>
      <c r="E12" s="6" t="s">
        <v>130</v>
      </c>
    </row>
    <row r="13" spans="1:5" x14ac:dyDescent="0.3">
      <c r="A13" s="9" t="s">
        <v>137</v>
      </c>
      <c r="B13" s="12">
        <v>286392</v>
      </c>
      <c r="D13" s="9" t="s">
        <v>121</v>
      </c>
      <c r="E13" s="12">
        <v>984424</v>
      </c>
    </row>
    <row r="14" spans="1:5" x14ac:dyDescent="0.3">
      <c r="A14" s="9" t="s">
        <v>136</v>
      </c>
      <c r="B14" s="12">
        <v>320757</v>
      </c>
      <c r="D14" s="9" t="s">
        <v>122</v>
      </c>
      <c r="E14" s="12">
        <v>1023163</v>
      </c>
    </row>
    <row r="15" spans="1:5" x14ac:dyDescent="0.3">
      <c r="A15" s="9" t="s">
        <v>140</v>
      </c>
      <c r="B15" s="12">
        <v>221234</v>
      </c>
      <c r="D15" s="9" t="s">
        <v>120</v>
      </c>
      <c r="E15" s="12">
        <v>1046196</v>
      </c>
    </row>
    <row r="16" spans="1:5" x14ac:dyDescent="0.3">
      <c r="A16" s="9" t="s">
        <v>133</v>
      </c>
      <c r="B16" s="12">
        <v>132678</v>
      </c>
      <c r="D16" s="9" t="s">
        <v>132</v>
      </c>
      <c r="E16" s="12">
        <v>3053783</v>
      </c>
    </row>
    <row r="17" spans="1:6" x14ac:dyDescent="0.3">
      <c r="A17" s="9" t="s">
        <v>141</v>
      </c>
      <c r="B17" s="12">
        <v>238312</v>
      </c>
    </row>
    <row r="18" spans="1:6" x14ac:dyDescent="0.3">
      <c r="A18" s="9" t="s">
        <v>139</v>
      </c>
      <c r="B18" s="12">
        <v>391339</v>
      </c>
    </row>
    <row r="19" spans="1:6" x14ac:dyDescent="0.3">
      <c r="A19" s="9" t="s">
        <v>138</v>
      </c>
      <c r="B19" s="12">
        <v>210483</v>
      </c>
      <c r="D19" s="13" t="s">
        <v>154</v>
      </c>
      <c r="E19" s="15"/>
      <c r="F19" s="14"/>
    </row>
    <row r="20" spans="1:6" x14ac:dyDescent="0.3">
      <c r="A20" s="9" t="s">
        <v>134</v>
      </c>
      <c r="B20" s="12">
        <v>373746</v>
      </c>
      <c r="D20" s="11" t="s">
        <v>131</v>
      </c>
      <c r="E20" s="6" t="s">
        <v>130</v>
      </c>
      <c r="F20" s="6" t="s">
        <v>152</v>
      </c>
    </row>
    <row r="21" spans="1:6" x14ac:dyDescent="0.3">
      <c r="A21" s="9" t="s">
        <v>144</v>
      </c>
      <c r="B21" s="12">
        <v>242277</v>
      </c>
      <c r="D21" s="9" t="s">
        <v>124</v>
      </c>
      <c r="E21" s="12">
        <v>984424</v>
      </c>
      <c r="F21" s="12">
        <v>196884.79999999993</v>
      </c>
    </row>
    <row r="22" spans="1:6" x14ac:dyDescent="0.3">
      <c r="A22" s="9" t="s">
        <v>143</v>
      </c>
      <c r="B22" s="12">
        <v>290717</v>
      </c>
      <c r="D22" s="9" t="s">
        <v>125</v>
      </c>
      <c r="E22" s="12">
        <v>1023163</v>
      </c>
      <c r="F22" s="12">
        <v>204632.60000000003</v>
      </c>
    </row>
    <row r="23" spans="1:6" x14ac:dyDescent="0.3">
      <c r="A23" s="9" t="s">
        <v>142</v>
      </c>
      <c r="B23" s="12">
        <v>185330</v>
      </c>
      <c r="D23" s="9" t="s">
        <v>123</v>
      </c>
      <c r="E23" s="12">
        <v>1046196</v>
      </c>
      <c r="F23" s="12">
        <v>209239.20000000004</v>
      </c>
    </row>
    <row r="24" spans="1:6" x14ac:dyDescent="0.3">
      <c r="A24" s="9" t="s">
        <v>135</v>
      </c>
      <c r="B24" s="12">
        <v>160518</v>
      </c>
      <c r="D24" s="9" t="s">
        <v>132</v>
      </c>
      <c r="E24" s="12">
        <v>3053783</v>
      </c>
      <c r="F24" s="12">
        <v>610756.60000000021</v>
      </c>
    </row>
    <row r="25" spans="1:6" x14ac:dyDescent="0.3">
      <c r="A25" s="9" t="s">
        <v>132</v>
      </c>
      <c r="B25" s="12">
        <v>3053783</v>
      </c>
    </row>
  </sheetData>
  <mergeCells count="5">
    <mergeCell ref="A2:B2"/>
    <mergeCell ref="D19:F19"/>
    <mergeCell ref="A11:B11"/>
    <mergeCell ref="D11:E11"/>
    <mergeCell ref="D3: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Sales_Data</vt:lpstr>
      <vt:lpstr>KPI's</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chandana A</dc:creator>
  <cp:lastModifiedBy>chandana A</cp:lastModifiedBy>
  <dcterms:created xsi:type="dcterms:W3CDTF">2026-03-02T05:57:52Z</dcterms:created>
  <dcterms:modified xsi:type="dcterms:W3CDTF">2026-03-02T07:46:44Z</dcterms:modified>
</cp:coreProperties>
</file>