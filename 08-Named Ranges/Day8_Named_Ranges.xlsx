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definedNames>
    <definedName name="Sales">Sheet1!$D$2:$D$101</definedName>
    <definedName name="Region">Sheet1!$C$2:$C$101</definedName>
    <definedName name="Product">Sheet1!$B$2:$B$101</definedName>
    <definedName name="Date">Sheet1!$A$2:$A$101</definedName>
    <definedName name="Sales_Dynamic">Sheet1!$D$2:INDEX(Sheet1!$D:$D,COUNTA(Sheet1!$D:$D))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<sst xmlns="http://schemas.openxmlformats.org/spreadsheetml/2006/main" count="240" uniqueCount="46">
  <si>
    <t>Date</t>
  </si>
  <si>
    <t>Product</t>
  </si>
  <si>
    <t>Region</t>
  </si>
  <si>
    <t>Sales</t>
  </si>
  <si>
    <t>Product 5</t>
  </si>
  <si>
    <t>North</t>
  </si>
  <si>
    <t>Product 4</t>
  </si>
  <si>
    <t>East</t>
  </si>
  <si>
    <t>Product 1</t>
  </si>
  <si>
    <t>South</t>
  </si>
  <si>
    <t>Summary</t>
  </si>
  <si>
    <t>West</t>
  </si>
  <si>
    <t>Arribute</t>
  </si>
  <si>
    <t>Value</t>
  </si>
  <si>
    <t>Formula</t>
  </si>
  <si>
    <t>Product 2</t>
  </si>
  <si>
    <t>Total Sales</t>
  </si>
  <si>
    <t>=SUM(Sales)</t>
  </si>
  <si>
    <t>Average</t>
  </si>
  <si>
    <t>=AVERAGE(Sales)</t>
  </si>
  <si>
    <t>Maximun sales</t>
  </si>
  <si>
    <t>=MAX(Sales)</t>
  </si>
  <si>
    <t>Minimum sales</t>
  </si>
  <si>
    <t>=MIN(Sales)</t>
  </si>
  <si>
    <t>Total No. of Sales</t>
  </si>
  <si>
    <t>=COUNT(Sales)</t>
  </si>
  <si>
    <t>Total sales in South</t>
  </si>
  <si>
    <t>=SUMIFS(Sales,Region,"South")</t>
  </si>
  <si>
    <t>Total sales in North</t>
  </si>
  <si>
    <t>=SUMIFS(Sales,Region,"North")</t>
  </si>
  <si>
    <t>Total of sales_dynamic</t>
  </si>
  <si>
    <t>=SUM(Sales_Dynamic)</t>
  </si>
  <si>
    <t>Product 3</t>
  </si>
  <si>
    <t>Sales of Product 1</t>
  </si>
  <si>
    <t>=SUMIFS(Sales,Product,"Product 1")</t>
  </si>
  <si>
    <t>Sales of Product 3 in South Region:</t>
  </si>
  <si>
    <t>=SUMIFS(Sales,Product,"Product 3",Region,"South")</t>
  </si>
  <si>
    <t>Average Sales of South region</t>
  </si>
  <si>
    <t>=AVERAGEIFS(Sales,Region,"South")</t>
  </si>
  <si>
    <t>Total Sales of Table</t>
  </si>
  <si>
    <t>=SUM(Sales_Table[Sales])</t>
  </si>
  <si>
    <t>Average sales of table</t>
  </si>
  <si>
    <t>=AVERAGE(Sales_Table[Sales])</t>
  </si>
  <si>
    <t>Product 6</t>
  </si>
  <si>
    <t>Product 7</t>
  </si>
  <si>
    <t>Product 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</si>
</sst>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;@"/>
  </numFmts>
  <fonts count="22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1" xfId="0" applyBorder="1" applyAlignment="1">
      <alignment vertical="center" wrapText="1"/>
    </xf>
    <xf numFmtId="180" fontId="0" fillId="0" borderId="1" xfId="0" applyNumberFormat="1" applyBorder="1">
      <alignment vertical="center"/>
    </xf>
    <xf numFmtId="0" fontId="0" fillId="0" borderId="1" xfId="0" applyBorder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6" xfId="0" applyBorder="1" quotePrefix="1">
      <alignment vertical="center"/>
    </xf>
    <xf numFmtId="0" fontId="0" fillId="0" borderId="9" xfId="0" applyBorder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numFmt numFmtId="180" formatCode="dd/mm/yyyy;@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Sales_Table" displayName="Sales_Table" ref="A1:D104" totalsRowShown="0">
  <autoFilter xmlns:etc="http://www.wps.cn/officeDocument/2017/etCustomData" ref="A1:D104" etc:filterBottomFollowUsedRange="0"/>
  <tableColumns count="4">
    <tableColumn id="1" name="Date" dataDxfId="0"/>
    <tableColumn id="2" name="Product"/>
    <tableColumn id="3" name="Region"/>
    <tableColumn id="4" name="Sales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4"/>
  <sheetViews>
    <sheetView tabSelected="1" workbookViewId="0">
      <pane ySplit="1" topLeftCell="A2" activePane="bottomLeft" state="frozen"/>
      <selection/>
      <selection pane="bottomLeft" activeCell="E2" sqref="E2"/>
    </sheetView>
  </sheetViews>
  <sheetFormatPr defaultColWidth="8.88888888888889" defaultRowHeight="14.4" outlineLevelCol="7"/>
  <cols>
    <col min="1" max="1" width="11.1111111111111"/>
    <col min="6" max="6" width="32.2222222222222" customWidth="1"/>
    <col min="7" max="7" width="12.8888888888889"/>
    <col min="8" max="8" width="47.5555555555556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45292</v>
      </c>
      <c r="B2" s="3" t="s">
        <v>4</v>
      </c>
      <c r="C2" s="3" t="s">
        <v>5</v>
      </c>
      <c r="D2" s="3">
        <v>2794</v>
      </c>
    </row>
    <row r="3" spans="1:4">
      <c r="A3" s="2">
        <v>45293</v>
      </c>
      <c r="B3" s="3" t="s">
        <v>6</v>
      </c>
      <c r="C3" s="3" t="s">
        <v>7</v>
      </c>
      <c r="D3" s="3">
        <v>5495</v>
      </c>
    </row>
    <row r="4" ht="15.6" spans="1:8">
      <c r="A4" s="2">
        <v>45294</v>
      </c>
      <c r="B4" s="3" t="s">
        <v>8</v>
      </c>
      <c r="C4" s="3" t="s">
        <v>9</v>
      </c>
      <c r="D4" s="3">
        <v>8862</v>
      </c>
      <c r="F4" s="4" t="s">
        <v>10</v>
      </c>
      <c r="G4" s="5"/>
      <c r="H4" s="6"/>
    </row>
    <row r="5" spans="1:8">
      <c r="A5" s="2">
        <v>45295</v>
      </c>
      <c r="B5" s="3" t="s">
        <v>6</v>
      </c>
      <c r="C5" s="3" t="s">
        <v>11</v>
      </c>
      <c r="D5" s="3">
        <v>5916</v>
      </c>
      <c r="F5" s="7" t="s">
        <v>12</v>
      </c>
      <c r="G5" s="8" t="s">
        <v>13</v>
      </c>
      <c r="H5" s="9" t="s">
        <v>14</v>
      </c>
    </row>
    <row r="6" spans="1:8">
      <c r="A6" s="2">
        <v>45296</v>
      </c>
      <c r="B6" s="3" t="s">
        <v>15</v>
      </c>
      <c r="C6" s="3" t="s">
        <v>9</v>
      </c>
      <c r="D6" s="3">
        <v>4992</v>
      </c>
      <c r="F6" s="10" t="s">
        <v>16</v>
      </c>
      <c r="G6" s="3">
        <f>SUM(Sales)</f>
        <v>549998</v>
      </c>
      <c r="H6" s="15" t="s">
        <v>17</v>
      </c>
    </row>
    <row r="7" spans="1:8">
      <c r="A7" s="2">
        <v>45297</v>
      </c>
      <c r="B7" s="3" t="s">
        <v>15</v>
      </c>
      <c r="C7" s="3" t="s">
        <v>11</v>
      </c>
      <c r="D7" s="3">
        <v>8042</v>
      </c>
      <c r="F7" s="10" t="s">
        <v>18</v>
      </c>
      <c r="G7" s="3">
        <f>AVERAGE(Sales)</f>
        <v>5499.98</v>
      </c>
      <c r="H7" s="15" t="s">
        <v>19</v>
      </c>
    </row>
    <row r="8" spans="1:8">
      <c r="A8" s="2">
        <v>45298</v>
      </c>
      <c r="B8" s="3" t="s">
        <v>15</v>
      </c>
      <c r="C8" s="3" t="s">
        <v>7</v>
      </c>
      <c r="D8" s="3">
        <v>9761</v>
      </c>
      <c r="F8" s="10" t="s">
        <v>20</v>
      </c>
      <c r="G8" s="3">
        <f>MAX(Sales)</f>
        <v>9970</v>
      </c>
      <c r="H8" s="15" t="s">
        <v>21</v>
      </c>
    </row>
    <row r="9" spans="1:8">
      <c r="A9" s="2">
        <v>45299</v>
      </c>
      <c r="B9" s="3" t="s">
        <v>4</v>
      </c>
      <c r="C9" s="3" t="s">
        <v>9</v>
      </c>
      <c r="D9" s="3">
        <v>2359</v>
      </c>
      <c r="F9" s="10" t="s">
        <v>22</v>
      </c>
      <c r="G9" s="3">
        <f>MIN(Sales)</f>
        <v>1009</v>
      </c>
      <c r="H9" s="15" t="s">
        <v>23</v>
      </c>
    </row>
    <row r="10" spans="1:8">
      <c r="A10" s="2">
        <v>45300</v>
      </c>
      <c r="B10" s="3" t="s">
        <v>4</v>
      </c>
      <c r="C10" s="3" t="s">
        <v>7</v>
      </c>
      <c r="D10" s="3">
        <v>1128</v>
      </c>
      <c r="F10" s="10" t="s">
        <v>24</v>
      </c>
      <c r="G10" s="3">
        <f>COUNT(Sales)</f>
        <v>100</v>
      </c>
      <c r="H10" s="15" t="s">
        <v>25</v>
      </c>
    </row>
    <row r="11" spans="1:8">
      <c r="A11" s="2">
        <v>45301</v>
      </c>
      <c r="B11" s="3" t="s">
        <v>15</v>
      </c>
      <c r="C11" s="3" t="s">
        <v>9</v>
      </c>
      <c r="D11" s="3">
        <v>5096</v>
      </c>
      <c r="F11" s="10" t="s">
        <v>26</v>
      </c>
      <c r="G11" s="3" cm="1">
        <f t="array" ref="G11">SUMIFS(Sales,Region,"South")</f>
        <v>159970</v>
      </c>
      <c r="H11" s="15" t="s">
        <v>27</v>
      </c>
    </row>
    <row r="12" spans="1:8">
      <c r="A12" s="2">
        <v>45302</v>
      </c>
      <c r="B12" s="3" t="s">
        <v>8</v>
      </c>
      <c r="C12" s="3" t="s">
        <v>11</v>
      </c>
      <c r="D12" s="3">
        <v>6512</v>
      </c>
      <c r="F12" s="10" t="s">
        <v>28</v>
      </c>
      <c r="G12" s="3" cm="1">
        <f t="array" ref="G12">SUMIFS(Sales,Region,"North")</f>
        <v>127199</v>
      </c>
      <c r="H12" s="15" t="s">
        <v>29</v>
      </c>
    </row>
    <row r="13" spans="1:8">
      <c r="A13" s="2">
        <v>45303</v>
      </c>
      <c r="B13" s="3" t="s">
        <v>15</v>
      </c>
      <c r="C13" s="3" t="s">
        <v>11</v>
      </c>
      <c r="D13" s="3">
        <v>6830</v>
      </c>
      <c r="F13" s="10" t="s">
        <v>30</v>
      </c>
      <c r="G13" s="3">
        <f ca="1">SUM(Sales_Dynamic)</f>
        <v>558485</v>
      </c>
      <c r="H13" s="15" t="s">
        <v>31</v>
      </c>
    </row>
    <row r="14" spans="1:8">
      <c r="A14" s="2">
        <v>45304</v>
      </c>
      <c r="B14" s="3" t="s">
        <v>32</v>
      </c>
      <c r="C14" s="3" t="s">
        <v>9</v>
      </c>
      <c r="D14" s="3">
        <v>3498</v>
      </c>
      <c r="F14" s="10" t="s">
        <v>33</v>
      </c>
      <c r="G14" s="3" cm="1">
        <f t="array" ref="G14">SUMIFS(Sales,Product,"Product 1")</f>
        <v>125603</v>
      </c>
      <c r="H14" s="15" t="s">
        <v>34</v>
      </c>
    </row>
    <row r="15" spans="1:8">
      <c r="A15" s="2">
        <v>45305</v>
      </c>
      <c r="B15" s="3" t="s">
        <v>32</v>
      </c>
      <c r="C15" s="3" t="s">
        <v>11</v>
      </c>
      <c r="D15" s="3">
        <v>2221</v>
      </c>
      <c r="F15" s="10" t="s">
        <v>35</v>
      </c>
      <c r="G15" s="3" cm="1">
        <f t="array" ref="G15">SUMIFS(Sales,Product,"Product 3",Region,"South")</f>
        <v>15360</v>
      </c>
      <c r="H15" s="15" t="s">
        <v>36</v>
      </c>
    </row>
    <row r="16" spans="1:8">
      <c r="A16" s="2">
        <v>45306</v>
      </c>
      <c r="B16" s="3" t="s">
        <v>6</v>
      </c>
      <c r="C16" s="3" t="s">
        <v>9</v>
      </c>
      <c r="D16" s="3">
        <v>1092</v>
      </c>
      <c r="F16" s="10" t="s">
        <v>37</v>
      </c>
      <c r="G16" s="3" cm="1">
        <f t="array" ref="G16">AVERAGEIFS(Sales,Region,"South")</f>
        <v>4999.0625</v>
      </c>
      <c r="H16" s="15" t="s">
        <v>38</v>
      </c>
    </row>
    <row r="17" spans="1:8">
      <c r="A17" s="2">
        <v>45307</v>
      </c>
      <c r="B17" s="3" t="s">
        <v>32</v>
      </c>
      <c r="C17" s="3" t="s">
        <v>5</v>
      </c>
      <c r="D17" s="3">
        <v>5999</v>
      </c>
      <c r="F17" s="10"/>
      <c r="G17" s="3"/>
      <c r="H17" s="11"/>
    </row>
    <row r="18" spans="1:8">
      <c r="A18" s="2">
        <v>45308</v>
      </c>
      <c r="B18" s="3" t="s">
        <v>8</v>
      </c>
      <c r="C18" s="3" t="s">
        <v>11</v>
      </c>
      <c r="D18" s="3">
        <v>8793</v>
      </c>
      <c r="F18" s="10" t="s">
        <v>39</v>
      </c>
      <c r="G18" s="3">
        <f>SUM(Sales_Table[Sales])</f>
        <v>558485</v>
      </c>
      <c r="H18" s="15" t="s">
        <v>40</v>
      </c>
    </row>
    <row r="19" ht="15.15" spans="1:8">
      <c r="A19" s="2">
        <v>45309</v>
      </c>
      <c r="B19" s="3" t="s">
        <v>8</v>
      </c>
      <c r="C19" s="3" t="s">
        <v>9</v>
      </c>
      <c r="D19" s="3">
        <v>6111</v>
      </c>
      <c r="F19" s="12" t="s">
        <v>41</v>
      </c>
      <c r="G19" s="13">
        <f>AVERAGE(Sales_Table[Sales])</f>
        <v>5422.18446601942</v>
      </c>
      <c r="H19" s="16" t="s">
        <v>42</v>
      </c>
    </row>
    <row r="20" spans="1:4">
      <c r="A20" s="2">
        <v>45310</v>
      </c>
      <c r="B20" s="3" t="s">
        <v>4</v>
      </c>
      <c r="C20" s="3" t="s">
        <v>9</v>
      </c>
      <c r="D20" s="3">
        <v>5147</v>
      </c>
    </row>
    <row r="21" spans="1:4">
      <c r="A21" s="2">
        <v>45311</v>
      </c>
      <c r="B21" s="3" t="s">
        <v>32</v>
      </c>
      <c r="C21" s="3" t="s">
        <v>9</v>
      </c>
      <c r="D21" s="3">
        <v>1009</v>
      </c>
    </row>
    <row r="22" spans="1:4">
      <c r="A22" s="2">
        <v>45312</v>
      </c>
      <c r="B22" s="3" t="s">
        <v>8</v>
      </c>
      <c r="C22" s="3" t="s">
        <v>11</v>
      </c>
      <c r="D22" s="3">
        <v>6870</v>
      </c>
    </row>
    <row r="23" spans="1:4">
      <c r="A23" s="2">
        <v>45313</v>
      </c>
      <c r="B23" s="3" t="s">
        <v>32</v>
      </c>
      <c r="C23" s="3" t="s">
        <v>5</v>
      </c>
      <c r="D23" s="3">
        <v>2859</v>
      </c>
    </row>
    <row r="24" spans="1:4">
      <c r="A24" s="2">
        <v>45314</v>
      </c>
      <c r="B24" s="3" t="s">
        <v>32</v>
      </c>
      <c r="C24" s="3" t="s">
        <v>9</v>
      </c>
      <c r="D24" s="3">
        <v>2960</v>
      </c>
    </row>
    <row r="25" spans="1:4">
      <c r="A25" s="2">
        <v>45315</v>
      </c>
      <c r="B25" s="3" t="s">
        <v>6</v>
      </c>
      <c r="C25" s="3" t="s">
        <v>11</v>
      </c>
      <c r="D25" s="3">
        <v>1724</v>
      </c>
    </row>
    <row r="26" spans="1:4">
      <c r="A26" s="2">
        <v>45316</v>
      </c>
      <c r="B26" s="3" t="s">
        <v>15</v>
      </c>
      <c r="C26" s="3" t="s">
        <v>7</v>
      </c>
      <c r="D26" s="3">
        <v>8162</v>
      </c>
    </row>
    <row r="27" spans="1:4">
      <c r="A27" s="2">
        <v>45317</v>
      </c>
      <c r="B27" s="3" t="s">
        <v>6</v>
      </c>
      <c r="C27" s="3" t="s">
        <v>5</v>
      </c>
      <c r="D27" s="3">
        <v>2196</v>
      </c>
    </row>
    <row r="28" spans="1:4">
      <c r="A28" s="2">
        <v>45318</v>
      </c>
      <c r="B28" s="3" t="s">
        <v>4</v>
      </c>
      <c r="C28" s="3" t="s">
        <v>9</v>
      </c>
      <c r="D28" s="3">
        <v>4319</v>
      </c>
    </row>
    <row r="29" spans="1:4">
      <c r="A29" s="2">
        <v>45319</v>
      </c>
      <c r="B29" s="3" t="s">
        <v>8</v>
      </c>
      <c r="C29" s="3" t="s">
        <v>9</v>
      </c>
      <c r="D29" s="3">
        <v>3134</v>
      </c>
    </row>
    <row r="30" spans="1:4">
      <c r="A30" s="2">
        <v>45320</v>
      </c>
      <c r="B30" s="3" t="s">
        <v>32</v>
      </c>
      <c r="C30" s="3" t="s">
        <v>9</v>
      </c>
      <c r="D30" s="3">
        <v>1037</v>
      </c>
    </row>
    <row r="31" spans="1:4">
      <c r="A31" s="2">
        <v>45321</v>
      </c>
      <c r="B31" s="3" t="s">
        <v>15</v>
      </c>
      <c r="C31" s="3" t="s">
        <v>7</v>
      </c>
      <c r="D31" s="3">
        <v>7573</v>
      </c>
    </row>
    <row r="32" spans="1:4">
      <c r="A32" s="2">
        <v>45322</v>
      </c>
      <c r="B32" s="3" t="s">
        <v>8</v>
      </c>
      <c r="C32" s="3" t="s">
        <v>9</v>
      </c>
      <c r="D32" s="3">
        <v>5453</v>
      </c>
    </row>
    <row r="33" spans="1:4">
      <c r="A33" s="2">
        <v>45323</v>
      </c>
      <c r="B33" s="3" t="s">
        <v>6</v>
      </c>
      <c r="C33" s="3" t="s">
        <v>7</v>
      </c>
      <c r="D33" s="3">
        <v>7791</v>
      </c>
    </row>
    <row r="34" spans="1:4">
      <c r="A34" s="2">
        <v>45324</v>
      </c>
      <c r="B34" s="3" t="s">
        <v>6</v>
      </c>
      <c r="C34" s="3" t="s">
        <v>11</v>
      </c>
      <c r="D34" s="3">
        <v>7056</v>
      </c>
    </row>
    <row r="35" spans="1:4">
      <c r="A35" s="2">
        <v>45325</v>
      </c>
      <c r="B35" s="3" t="s">
        <v>15</v>
      </c>
      <c r="C35" s="3" t="s">
        <v>7</v>
      </c>
      <c r="D35" s="3">
        <v>9919</v>
      </c>
    </row>
    <row r="36" spans="1:4">
      <c r="A36" s="2">
        <v>45326</v>
      </c>
      <c r="B36" s="3" t="s">
        <v>15</v>
      </c>
      <c r="C36" s="3" t="s">
        <v>9</v>
      </c>
      <c r="D36" s="3">
        <v>9802</v>
      </c>
    </row>
    <row r="37" spans="1:4">
      <c r="A37" s="2">
        <v>45327</v>
      </c>
      <c r="B37" s="3" t="s">
        <v>15</v>
      </c>
      <c r="C37" s="3" t="s">
        <v>7</v>
      </c>
      <c r="D37" s="3">
        <v>6187</v>
      </c>
    </row>
    <row r="38" spans="1:4">
      <c r="A38" s="2">
        <v>45328</v>
      </c>
      <c r="B38" s="3" t="s">
        <v>15</v>
      </c>
      <c r="C38" s="3" t="s">
        <v>11</v>
      </c>
      <c r="D38" s="3">
        <v>7741</v>
      </c>
    </row>
    <row r="39" spans="1:4">
      <c r="A39" s="2">
        <v>45329</v>
      </c>
      <c r="B39" s="3" t="s">
        <v>6</v>
      </c>
      <c r="C39" s="3" t="s">
        <v>11</v>
      </c>
      <c r="D39" s="3">
        <v>2118</v>
      </c>
    </row>
    <row r="40" spans="1:4">
      <c r="A40" s="2">
        <v>45330</v>
      </c>
      <c r="B40" s="3" t="s">
        <v>4</v>
      </c>
      <c r="C40" s="3" t="s">
        <v>11</v>
      </c>
      <c r="D40" s="3">
        <v>9182</v>
      </c>
    </row>
    <row r="41" spans="1:4">
      <c r="A41" s="2">
        <v>45331</v>
      </c>
      <c r="B41" s="3" t="s">
        <v>8</v>
      </c>
      <c r="C41" s="3" t="s">
        <v>5</v>
      </c>
      <c r="D41" s="3">
        <v>9970</v>
      </c>
    </row>
    <row r="42" spans="1:4">
      <c r="A42" s="2">
        <v>45332</v>
      </c>
      <c r="B42" s="3" t="s">
        <v>6</v>
      </c>
      <c r="C42" s="3" t="s">
        <v>7</v>
      </c>
      <c r="D42" s="3">
        <v>6435</v>
      </c>
    </row>
    <row r="43" spans="1:4">
      <c r="A43" s="2">
        <v>45333</v>
      </c>
      <c r="B43" s="3" t="s">
        <v>32</v>
      </c>
      <c r="C43" s="3" t="s">
        <v>5</v>
      </c>
      <c r="D43" s="3">
        <v>8377</v>
      </c>
    </row>
    <row r="44" spans="1:4">
      <c r="A44" s="2">
        <v>45334</v>
      </c>
      <c r="B44" s="3" t="s">
        <v>4</v>
      </c>
      <c r="C44" s="3" t="s">
        <v>7</v>
      </c>
      <c r="D44" s="3">
        <v>2256</v>
      </c>
    </row>
    <row r="45" spans="1:4">
      <c r="A45" s="2">
        <v>45335</v>
      </c>
      <c r="B45" s="3" t="s">
        <v>6</v>
      </c>
      <c r="C45" s="3" t="s">
        <v>7</v>
      </c>
      <c r="D45" s="3">
        <v>3952</v>
      </c>
    </row>
    <row r="46" spans="1:4">
      <c r="A46" s="2">
        <v>45336</v>
      </c>
      <c r="B46" s="3" t="s">
        <v>32</v>
      </c>
      <c r="C46" s="3" t="s">
        <v>9</v>
      </c>
      <c r="D46" s="3">
        <v>4988</v>
      </c>
    </row>
    <row r="47" spans="1:4">
      <c r="A47" s="2">
        <v>45337</v>
      </c>
      <c r="B47" s="3" t="s">
        <v>8</v>
      </c>
      <c r="C47" s="3" t="s">
        <v>5</v>
      </c>
      <c r="D47" s="3">
        <v>8000</v>
      </c>
    </row>
    <row r="48" spans="1:4">
      <c r="A48" s="2">
        <v>45338</v>
      </c>
      <c r="B48" s="3" t="s">
        <v>8</v>
      </c>
      <c r="C48" s="3" t="s">
        <v>9</v>
      </c>
      <c r="D48" s="3">
        <v>9526</v>
      </c>
    </row>
    <row r="49" spans="1:4">
      <c r="A49" s="2">
        <v>45339</v>
      </c>
      <c r="B49" s="3" t="s">
        <v>6</v>
      </c>
      <c r="C49" s="3" t="s">
        <v>9</v>
      </c>
      <c r="D49" s="3">
        <v>3610</v>
      </c>
    </row>
    <row r="50" spans="1:4">
      <c r="A50" s="2">
        <v>45340</v>
      </c>
      <c r="B50" s="3" t="s">
        <v>4</v>
      </c>
      <c r="C50" s="3" t="s">
        <v>11</v>
      </c>
      <c r="D50" s="3">
        <v>2245</v>
      </c>
    </row>
    <row r="51" spans="1:4">
      <c r="A51" s="2">
        <v>45341</v>
      </c>
      <c r="B51" s="3" t="s">
        <v>6</v>
      </c>
      <c r="C51" s="3" t="s">
        <v>5</v>
      </c>
      <c r="D51" s="3">
        <v>4103</v>
      </c>
    </row>
    <row r="52" spans="1:4">
      <c r="A52" s="2">
        <v>45342</v>
      </c>
      <c r="B52" s="3" t="s">
        <v>32</v>
      </c>
      <c r="C52" s="3" t="s">
        <v>7</v>
      </c>
      <c r="D52" s="3">
        <v>7795</v>
      </c>
    </row>
    <row r="53" spans="1:4">
      <c r="A53" s="2">
        <v>45343</v>
      </c>
      <c r="B53" s="3" t="s">
        <v>4</v>
      </c>
      <c r="C53" s="3" t="s">
        <v>11</v>
      </c>
      <c r="D53" s="3">
        <v>2820</v>
      </c>
    </row>
    <row r="54" spans="1:4">
      <c r="A54" s="2">
        <v>45344</v>
      </c>
      <c r="B54" s="3" t="s">
        <v>15</v>
      </c>
      <c r="C54" s="3" t="s">
        <v>11</v>
      </c>
      <c r="D54" s="3">
        <v>8546</v>
      </c>
    </row>
    <row r="55" spans="1:4">
      <c r="A55" s="2">
        <v>45345</v>
      </c>
      <c r="B55" s="3" t="s">
        <v>6</v>
      </c>
      <c r="C55" s="3" t="s">
        <v>5</v>
      </c>
      <c r="D55" s="3">
        <v>4401</v>
      </c>
    </row>
    <row r="56" spans="1:4">
      <c r="A56" s="2">
        <v>45346</v>
      </c>
      <c r="B56" s="3" t="s">
        <v>8</v>
      </c>
      <c r="C56" s="3" t="s">
        <v>11</v>
      </c>
      <c r="D56" s="3">
        <v>1315</v>
      </c>
    </row>
    <row r="57" spans="1:4">
      <c r="A57" s="2">
        <v>45347</v>
      </c>
      <c r="B57" s="3" t="s">
        <v>8</v>
      </c>
      <c r="C57" s="3" t="s">
        <v>7</v>
      </c>
      <c r="D57" s="3">
        <v>2819</v>
      </c>
    </row>
    <row r="58" spans="1:4">
      <c r="A58" s="2">
        <v>45348</v>
      </c>
      <c r="B58" s="3" t="s">
        <v>4</v>
      </c>
      <c r="C58" s="3" t="s">
        <v>9</v>
      </c>
      <c r="D58" s="3">
        <v>8017</v>
      </c>
    </row>
    <row r="59" spans="1:4">
      <c r="A59" s="2">
        <v>45349</v>
      </c>
      <c r="B59" s="3" t="s">
        <v>32</v>
      </c>
      <c r="C59" s="3" t="s">
        <v>11</v>
      </c>
      <c r="D59" s="3">
        <v>9905</v>
      </c>
    </row>
    <row r="60" spans="1:4">
      <c r="A60" s="2">
        <v>45350</v>
      </c>
      <c r="B60" s="3" t="s">
        <v>32</v>
      </c>
      <c r="C60" s="3" t="s">
        <v>11</v>
      </c>
      <c r="D60" s="3">
        <v>4164</v>
      </c>
    </row>
    <row r="61" spans="1:4">
      <c r="A61" s="2">
        <v>45351</v>
      </c>
      <c r="B61" s="3" t="s">
        <v>32</v>
      </c>
      <c r="C61" s="3" t="s">
        <v>5</v>
      </c>
      <c r="D61" s="3">
        <v>6968</v>
      </c>
    </row>
    <row r="62" spans="1:4">
      <c r="A62" s="2">
        <v>45352</v>
      </c>
      <c r="B62" s="3" t="s">
        <v>4</v>
      </c>
      <c r="C62" s="3" t="s">
        <v>11</v>
      </c>
      <c r="D62" s="3">
        <v>2519</v>
      </c>
    </row>
    <row r="63" spans="1:4">
      <c r="A63" s="2">
        <v>45353</v>
      </c>
      <c r="B63" s="3" t="s">
        <v>15</v>
      </c>
      <c r="C63" s="3" t="s">
        <v>5</v>
      </c>
      <c r="D63" s="3">
        <v>4699</v>
      </c>
    </row>
    <row r="64" spans="1:4">
      <c r="A64" s="2">
        <v>45354</v>
      </c>
      <c r="B64" s="3" t="s">
        <v>8</v>
      </c>
      <c r="C64" s="3" t="s">
        <v>9</v>
      </c>
      <c r="D64" s="3">
        <v>4022</v>
      </c>
    </row>
    <row r="65" spans="1:4">
      <c r="A65" s="2">
        <v>45355</v>
      </c>
      <c r="B65" s="3" t="s">
        <v>4</v>
      </c>
      <c r="C65" s="3" t="s">
        <v>9</v>
      </c>
      <c r="D65" s="3">
        <v>8243</v>
      </c>
    </row>
    <row r="66" spans="1:4">
      <c r="A66" s="2">
        <v>45356</v>
      </c>
      <c r="B66" s="3" t="s">
        <v>4</v>
      </c>
      <c r="C66" s="3" t="s">
        <v>5</v>
      </c>
      <c r="D66" s="3">
        <v>8601</v>
      </c>
    </row>
    <row r="67" spans="1:4">
      <c r="A67" s="2">
        <v>45357</v>
      </c>
      <c r="B67" s="3" t="s">
        <v>15</v>
      </c>
      <c r="C67" s="3" t="s">
        <v>11</v>
      </c>
      <c r="D67" s="3">
        <v>6021</v>
      </c>
    </row>
    <row r="68" spans="1:4">
      <c r="A68" s="2">
        <v>45358</v>
      </c>
      <c r="B68" s="3" t="s">
        <v>6</v>
      </c>
      <c r="C68" s="3" t="s">
        <v>9</v>
      </c>
      <c r="D68" s="3">
        <v>9201</v>
      </c>
    </row>
    <row r="69" spans="1:4">
      <c r="A69" s="2">
        <v>45359</v>
      </c>
      <c r="B69" s="3" t="s">
        <v>6</v>
      </c>
      <c r="C69" s="3" t="s">
        <v>7</v>
      </c>
      <c r="D69" s="3">
        <v>7050</v>
      </c>
    </row>
    <row r="70" spans="1:4">
      <c r="A70" s="2">
        <v>45360</v>
      </c>
      <c r="B70" s="3" t="s">
        <v>4</v>
      </c>
      <c r="C70" s="3" t="s">
        <v>9</v>
      </c>
      <c r="D70" s="3">
        <v>1937</v>
      </c>
    </row>
    <row r="71" spans="1:4">
      <c r="A71" s="2">
        <v>45361</v>
      </c>
      <c r="B71" s="3" t="s">
        <v>4</v>
      </c>
      <c r="C71" s="3" t="s">
        <v>5</v>
      </c>
      <c r="D71" s="3">
        <v>3254</v>
      </c>
    </row>
    <row r="72" spans="1:4">
      <c r="A72" s="2">
        <v>45362</v>
      </c>
      <c r="B72" s="3" t="s">
        <v>32</v>
      </c>
      <c r="C72" s="3" t="s">
        <v>9</v>
      </c>
      <c r="D72" s="3">
        <v>1868</v>
      </c>
    </row>
    <row r="73" spans="1:4">
      <c r="A73" s="2">
        <v>45363</v>
      </c>
      <c r="B73" s="3" t="s">
        <v>6</v>
      </c>
      <c r="C73" s="3" t="s">
        <v>7</v>
      </c>
      <c r="D73" s="3">
        <v>2393</v>
      </c>
    </row>
    <row r="74" spans="1:4">
      <c r="A74" s="2">
        <v>45364</v>
      </c>
      <c r="B74" s="3" t="s">
        <v>8</v>
      </c>
      <c r="C74" s="3" t="s">
        <v>11</v>
      </c>
      <c r="D74" s="3">
        <v>8896</v>
      </c>
    </row>
    <row r="75" spans="1:4">
      <c r="A75" s="2">
        <v>45365</v>
      </c>
      <c r="B75" s="3" t="s">
        <v>4</v>
      </c>
      <c r="C75" s="3" t="s">
        <v>7</v>
      </c>
      <c r="D75" s="3">
        <v>5444</v>
      </c>
    </row>
    <row r="76" spans="1:4">
      <c r="A76" s="2">
        <v>45366</v>
      </c>
      <c r="B76" s="3" t="s">
        <v>15</v>
      </c>
      <c r="C76" s="3" t="s">
        <v>7</v>
      </c>
      <c r="D76" s="3">
        <v>1630</v>
      </c>
    </row>
    <row r="77" spans="1:4">
      <c r="A77" s="2">
        <v>45367</v>
      </c>
      <c r="B77" s="3" t="s">
        <v>6</v>
      </c>
      <c r="C77" s="3" t="s">
        <v>5</v>
      </c>
      <c r="D77" s="3">
        <v>6648</v>
      </c>
    </row>
    <row r="78" spans="1:4">
      <c r="A78" s="2">
        <v>45368</v>
      </c>
      <c r="B78" s="3" t="s">
        <v>6</v>
      </c>
      <c r="C78" s="3" t="s">
        <v>9</v>
      </c>
      <c r="D78" s="3">
        <v>3716</v>
      </c>
    </row>
    <row r="79" spans="1:4">
      <c r="A79" s="2">
        <v>45369</v>
      </c>
      <c r="B79" s="3" t="s">
        <v>4</v>
      </c>
      <c r="C79" s="3" t="s">
        <v>11</v>
      </c>
      <c r="D79" s="3">
        <v>7199</v>
      </c>
    </row>
    <row r="80" spans="1:4">
      <c r="A80" s="2">
        <v>45370</v>
      </c>
      <c r="B80" s="3" t="s">
        <v>15</v>
      </c>
      <c r="C80" s="3" t="s">
        <v>9</v>
      </c>
      <c r="D80" s="3">
        <v>6257</v>
      </c>
    </row>
    <row r="81" spans="1:4">
      <c r="A81" s="2">
        <v>45371</v>
      </c>
      <c r="B81" s="3" t="s">
        <v>8</v>
      </c>
      <c r="C81" s="3" t="s">
        <v>5</v>
      </c>
      <c r="D81" s="3">
        <v>5046</v>
      </c>
    </row>
    <row r="82" spans="1:4">
      <c r="A82" s="2">
        <v>45372</v>
      </c>
      <c r="B82" s="3" t="s">
        <v>4</v>
      </c>
      <c r="C82" s="3" t="s">
        <v>11</v>
      </c>
      <c r="D82" s="3">
        <v>6373</v>
      </c>
    </row>
    <row r="83" spans="1:4">
      <c r="A83" s="2">
        <v>45373</v>
      </c>
      <c r="B83" s="3" t="s">
        <v>6</v>
      </c>
      <c r="C83" s="3" t="s">
        <v>5</v>
      </c>
      <c r="D83" s="3">
        <v>5555</v>
      </c>
    </row>
    <row r="84" spans="1:4">
      <c r="A84" s="2">
        <v>45374</v>
      </c>
      <c r="B84" s="3" t="s">
        <v>6</v>
      </c>
      <c r="C84" s="3" t="s">
        <v>11</v>
      </c>
      <c r="D84" s="3">
        <v>3458</v>
      </c>
    </row>
    <row r="85" spans="1:4">
      <c r="A85" s="2">
        <v>45375</v>
      </c>
      <c r="B85" s="3" t="s">
        <v>6</v>
      </c>
      <c r="C85" s="3" t="s">
        <v>9</v>
      </c>
      <c r="D85" s="3">
        <v>1166</v>
      </c>
    </row>
    <row r="86" spans="1:4">
      <c r="A86" s="2">
        <v>45376</v>
      </c>
      <c r="B86" s="3" t="s">
        <v>15</v>
      </c>
      <c r="C86" s="3" t="s">
        <v>9</v>
      </c>
      <c r="D86" s="3">
        <v>4951</v>
      </c>
    </row>
    <row r="87" spans="1:4">
      <c r="A87" s="2">
        <v>45377</v>
      </c>
      <c r="B87" s="3" t="s">
        <v>8</v>
      </c>
      <c r="C87" s="3" t="s">
        <v>7</v>
      </c>
      <c r="D87" s="3">
        <v>5104</v>
      </c>
    </row>
    <row r="88" spans="1:4">
      <c r="A88" s="2">
        <v>45378</v>
      </c>
      <c r="B88" s="3" t="s">
        <v>32</v>
      </c>
      <c r="C88" s="3" t="s">
        <v>7</v>
      </c>
      <c r="D88" s="3">
        <v>7269</v>
      </c>
    </row>
    <row r="89" spans="1:4">
      <c r="A89" s="2">
        <v>45379</v>
      </c>
      <c r="B89" s="3" t="s">
        <v>15</v>
      </c>
      <c r="C89" s="3" t="s">
        <v>9</v>
      </c>
      <c r="D89" s="3">
        <v>9109</v>
      </c>
    </row>
    <row r="90" spans="1:4">
      <c r="A90" s="2">
        <v>45380</v>
      </c>
      <c r="B90" s="3" t="s">
        <v>15</v>
      </c>
      <c r="C90" s="3" t="s">
        <v>11</v>
      </c>
      <c r="D90" s="3">
        <v>1246</v>
      </c>
    </row>
    <row r="91" spans="1:4">
      <c r="A91" s="2">
        <v>45381</v>
      </c>
      <c r="B91" s="3" t="s">
        <v>15</v>
      </c>
      <c r="C91" s="3" t="s">
        <v>9</v>
      </c>
      <c r="D91" s="3">
        <v>9237</v>
      </c>
    </row>
    <row r="92" spans="1:4">
      <c r="A92" s="2">
        <v>45382</v>
      </c>
      <c r="B92" s="3" t="s">
        <v>8</v>
      </c>
      <c r="C92" s="3" t="s">
        <v>5</v>
      </c>
      <c r="D92" s="3">
        <v>7036</v>
      </c>
    </row>
    <row r="93" spans="1:4">
      <c r="A93" s="2">
        <v>45383</v>
      </c>
      <c r="B93" s="3" t="s">
        <v>6</v>
      </c>
      <c r="C93" s="3" t="s">
        <v>9</v>
      </c>
      <c r="D93" s="3">
        <v>6424</v>
      </c>
    </row>
    <row r="94" spans="1:4">
      <c r="A94" s="2">
        <v>45384</v>
      </c>
      <c r="B94" s="3" t="s">
        <v>8</v>
      </c>
      <c r="C94" s="3" t="s">
        <v>11</v>
      </c>
      <c r="D94" s="3">
        <v>8016</v>
      </c>
    </row>
    <row r="95" spans="1:4">
      <c r="A95" s="2">
        <v>45385</v>
      </c>
      <c r="B95" s="3" t="s">
        <v>4</v>
      </c>
      <c r="C95" s="3" t="s">
        <v>5</v>
      </c>
      <c r="D95" s="3">
        <v>8809</v>
      </c>
    </row>
    <row r="96" spans="1:4">
      <c r="A96" s="2">
        <v>45386</v>
      </c>
      <c r="B96" s="3" t="s">
        <v>15</v>
      </c>
      <c r="C96" s="3" t="s">
        <v>7</v>
      </c>
      <c r="D96" s="3">
        <v>7234</v>
      </c>
    </row>
    <row r="97" spans="1:4">
      <c r="A97" s="2">
        <v>45387</v>
      </c>
      <c r="B97" s="3" t="s">
        <v>6</v>
      </c>
      <c r="C97" s="3" t="s">
        <v>5</v>
      </c>
      <c r="D97" s="3">
        <v>6281</v>
      </c>
    </row>
    <row r="98" spans="1:4">
      <c r="A98" s="2">
        <v>45388</v>
      </c>
      <c r="B98" s="3" t="s">
        <v>15</v>
      </c>
      <c r="C98" s="3" t="s">
        <v>5</v>
      </c>
      <c r="D98" s="3">
        <v>7189</v>
      </c>
    </row>
    <row r="99" spans="1:4">
      <c r="A99" s="2">
        <v>45389</v>
      </c>
      <c r="B99" s="3" t="s">
        <v>8</v>
      </c>
      <c r="C99" s="3" t="s">
        <v>5</v>
      </c>
      <c r="D99" s="3">
        <v>8414</v>
      </c>
    </row>
    <row r="100" spans="1:4">
      <c r="A100" s="2">
        <v>45390</v>
      </c>
      <c r="B100" s="3" t="s">
        <v>8</v>
      </c>
      <c r="C100" s="3" t="s">
        <v>11</v>
      </c>
      <c r="D100" s="3">
        <v>1704</v>
      </c>
    </row>
    <row r="101" spans="1:4">
      <c r="A101" s="2">
        <v>45391</v>
      </c>
      <c r="B101" s="3" t="s">
        <v>4</v>
      </c>
      <c r="C101" s="3" t="s">
        <v>9</v>
      </c>
      <c r="D101" s="3">
        <v>2827</v>
      </c>
    </row>
    <row r="102" spans="1:4">
      <c r="A102" s="2">
        <v>45392</v>
      </c>
      <c r="B102" s="3" t="s">
        <v>43</v>
      </c>
      <c r="C102" s="3" t="s">
        <v>9</v>
      </c>
      <c r="D102" s="3">
        <v>2828</v>
      </c>
    </row>
    <row r="103" spans="1:4">
      <c r="A103" s="2">
        <v>45393</v>
      </c>
      <c r="B103" s="3" t="s">
        <v>44</v>
      </c>
      <c r="C103" s="3" t="s">
        <v>9</v>
      </c>
      <c r="D103" s="3">
        <v>2829</v>
      </c>
    </row>
    <row r="104" spans="1:4">
      <c r="A104" s="2">
        <v>45394</v>
      </c>
      <c r="B104" s="3" t="s">
        <v>45</v>
      </c>
      <c r="C104" s="3" t="s">
        <v>9</v>
      </c>
      <c r="D104" s="3">
        <v>2830</v>
      </c>
    </row>
  </sheetData>
  <mergeCells count="1">
    <mergeCell ref="F4:H4"/>
  </mergeCells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</dc:creator>
  <cp:lastModifiedBy>WPS_1687949486</cp:lastModifiedBy>
  <dcterms:created xsi:type="dcterms:W3CDTF">2026-02-21T10:43:35Z</dcterms:created>
  <dcterms:modified xsi:type="dcterms:W3CDTF">2026-02-21T11:12:45Z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E978EA414E0849F896D47DF80E1BBD2A_11</vt:lpwstr>
  </property>
  <property fmtid="{D5CDD505-2E9C-101B-9397-08002B2CF9AE}" pid="3" name="KSOProductBuildVer">
    <vt:lpwstr>1033-12.2.0.23196</vt:lpwstr>
  </property>
</Properties>
</file>