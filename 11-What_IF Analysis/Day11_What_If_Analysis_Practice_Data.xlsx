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nd\OneDrive\Desktop\excel\"/>
    </mc:Choice>
  </mc:AlternateContent>
  <xr:revisionPtr revIDLastSave="0" documentId="13_ncr:1_{E301D1A0-D575-4A90-91DC-DE03A37E7E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Data" sheetId="1" r:id="rId1"/>
    <sheet name="What_if Analysis" sheetId="2" r:id="rId2"/>
  </sheets>
  <calcPr calcId="191029"/>
</workbook>
</file>

<file path=xl/calcChain.xml><?xml version="1.0" encoding="utf-8"?>
<calcChain xmlns="http://schemas.openxmlformats.org/spreadsheetml/2006/main">
  <c r="D11" i="2" l="1"/>
  <c r="D10" i="2"/>
  <c r="D12" i="2" s="1"/>
  <c r="Q6" i="2" s="1"/>
</calcChain>
</file>

<file path=xl/sharedStrings.xml><?xml version="1.0" encoding="utf-8"?>
<sst xmlns="http://schemas.openxmlformats.org/spreadsheetml/2006/main" count="229" uniqueCount="35">
  <si>
    <t>Product_ID</t>
  </si>
  <si>
    <t>Product_Name</t>
  </si>
  <si>
    <t>Region</t>
  </si>
  <si>
    <t>Price_per_Unit</t>
  </si>
  <si>
    <t>Quantity_Sold</t>
  </si>
  <si>
    <t>Revenue</t>
  </si>
  <si>
    <t>Cost_per_Unit</t>
  </si>
  <si>
    <t>Total_Cost</t>
  </si>
  <si>
    <t>Profit</t>
  </si>
  <si>
    <t>Keyboard</t>
  </si>
  <si>
    <t>South</t>
  </si>
  <si>
    <t>Monitor</t>
  </si>
  <si>
    <t>West</t>
  </si>
  <si>
    <t>Laptop</t>
  </si>
  <si>
    <t>North</t>
  </si>
  <si>
    <t>East</t>
  </si>
  <si>
    <t>Mouse</t>
  </si>
  <si>
    <t>Tablet</t>
  </si>
  <si>
    <t>Printer</t>
  </si>
  <si>
    <t>Label</t>
  </si>
  <si>
    <t>Value</t>
  </si>
  <si>
    <t>Price per Unit</t>
  </si>
  <si>
    <t>Cost per Unit</t>
  </si>
  <si>
    <t>Quantity</t>
  </si>
  <si>
    <t>Total Cost</t>
  </si>
  <si>
    <t>"We need ₹5,00,000 profit. How many units must we sell?"</t>
  </si>
  <si>
    <t>"What happens if price changes?"</t>
  </si>
  <si>
    <t>We test 3 scenarios:</t>
  </si>
  <si>
    <t>"What is profit for different quantities?"</t>
  </si>
  <si>
    <t>PART 3: DATA TABLE</t>
  </si>
  <si>
    <t>Part 2: Scenario manager</t>
  </si>
  <si>
    <t>Part 1:Goal Seek</t>
  </si>
  <si>
    <t>Worst Case → Price = 15000,Quantity = 20</t>
  </si>
  <si>
    <t>Expected Case → Price = 20000,Quantity = 35</t>
  </si>
  <si>
    <t>Best Case → Price = 25000,Quantity =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</si>
</sst>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243840</xdr:colOff>
      <xdr:row>6</xdr:row>
      <xdr:rowOff>129540</xdr:rowOff>
    </xdr:from>
    <xdr:ext cx="1924319" cy="1705213"/>
    <xdr:pic>
      <xdr:nvPicPr>
        <xdr:cNvPr id="2" name="Picture 1">
          <a:extLst>
            <a:ext uri="{FF2B5EF4-FFF2-40B4-BE49-F238E27FC236}">
              <a16:creationId xmlns:a16="http://schemas.microsoft.com/office/drawing/2014/main" id="{9AC9609E-1BDA-47F9-99DD-D480A3166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5300" y="3596640"/>
          <a:ext cx="1924319" cy="1705213"/>
        </a:xfrm>
        <a:prstGeom prst="rect">
          <a:avLst/>
        </a:prstGeom>
      </xdr:spPr>
    </xdr:pic>
    <xdr:clientData/>
  </xdr:oneCellAnchor>
  <xdr:oneCellAnchor>
    <xdr:from>
      <xdr:col>8</xdr:col>
      <xdr:colOff>403860</xdr:colOff>
      <xdr:row>20</xdr:row>
      <xdr:rowOff>30480</xdr:rowOff>
    </xdr:from>
    <xdr:ext cx="2010056" cy="1810003"/>
    <xdr:pic>
      <xdr:nvPicPr>
        <xdr:cNvPr id="3" name="Picture 2">
          <a:extLst>
            <a:ext uri="{FF2B5EF4-FFF2-40B4-BE49-F238E27FC236}">
              <a16:creationId xmlns:a16="http://schemas.microsoft.com/office/drawing/2014/main" id="{67299A66-A980-46B8-ABEB-D6508D130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75320" y="6057900"/>
          <a:ext cx="2010056" cy="1810003"/>
        </a:xfrm>
        <a:prstGeom prst="rect">
          <a:avLst/>
        </a:prstGeom>
      </xdr:spPr>
    </xdr:pic>
    <xdr:clientData/>
  </xdr:oneCellAnchor>
  <xdr:oneCellAnchor>
    <xdr:from>
      <xdr:col>8</xdr:col>
      <xdr:colOff>304800</xdr:colOff>
      <xdr:row>34</xdr:row>
      <xdr:rowOff>137160</xdr:rowOff>
    </xdr:from>
    <xdr:ext cx="1943371" cy="1781424"/>
    <xdr:pic>
      <xdr:nvPicPr>
        <xdr:cNvPr id="4" name="Picture 3">
          <a:extLst>
            <a:ext uri="{FF2B5EF4-FFF2-40B4-BE49-F238E27FC236}">
              <a16:creationId xmlns:a16="http://schemas.microsoft.com/office/drawing/2014/main" id="{9349EBF9-3D63-424E-A272-CEC1B86C9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76260" y="8724900"/>
          <a:ext cx="1943371" cy="17814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opLeftCell="F1" workbookViewId="0">
      <selection activeCell="K2" sqref="K2:AA60"/>
    </sheetView>
  </sheetViews>
  <sheetFormatPr defaultRowHeight="14.4" x14ac:dyDescent="0.3"/>
  <cols>
    <col min="1" max="1" width="10.44140625" style="9" bestFit="1" customWidth="1"/>
    <col min="2" max="2" width="13.77734375" bestFit="1" customWidth="1"/>
    <col min="3" max="3" width="6.77734375" bestFit="1" customWidth="1"/>
    <col min="4" max="4" width="13.5546875" bestFit="1" customWidth="1"/>
    <col min="5" max="5" width="13.109375" bestFit="1" customWidth="1"/>
    <col min="6" max="6" width="8.33203125" bestFit="1" customWidth="1"/>
    <col min="7" max="7" width="13.109375" bestFit="1" customWidth="1"/>
    <col min="8" max="8" width="9.88671875" bestFit="1" customWidth="1"/>
    <col min="9" max="9" width="8" bestFit="1" customWidth="1"/>
    <col min="12" max="12" width="11.88671875" customWidth="1"/>
    <col min="13" max="13" width="9.77734375" customWidth="1"/>
  </cols>
  <sheetData>
    <row r="1" spans="1:9" s="4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3">
      <c r="A2" s="8">
        <v>1</v>
      </c>
      <c r="B2" s="3" t="s">
        <v>9</v>
      </c>
      <c r="C2" s="3" t="s">
        <v>10</v>
      </c>
      <c r="D2" s="3">
        <v>17027</v>
      </c>
      <c r="E2" s="3">
        <v>7</v>
      </c>
      <c r="F2" s="3">
        <v>119189</v>
      </c>
      <c r="G2" s="3">
        <v>11439</v>
      </c>
      <c r="H2" s="3">
        <v>80073</v>
      </c>
      <c r="I2" s="3">
        <v>39116</v>
      </c>
    </row>
    <row r="3" spans="1:9" x14ac:dyDescent="0.3">
      <c r="A3" s="8">
        <v>2</v>
      </c>
      <c r="B3" s="3" t="s">
        <v>11</v>
      </c>
      <c r="C3" s="3" t="s">
        <v>12</v>
      </c>
      <c r="D3" s="3">
        <v>17763</v>
      </c>
      <c r="E3" s="3">
        <v>17</v>
      </c>
      <c r="F3" s="3">
        <v>301971</v>
      </c>
      <c r="G3" s="3">
        <v>9918</v>
      </c>
      <c r="H3" s="3">
        <v>168606</v>
      </c>
      <c r="I3" s="3">
        <v>133365</v>
      </c>
    </row>
    <row r="4" spans="1:9" x14ac:dyDescent="0.3">
      <c r="A4" s="8">
        <v>3</v>
      </c>
      <c r="B4" s="3" t="s">
        <v>13</v>
      </c>
      <c r="C4" s="3" t="s">
        <v>14</v>
      </c>
      <c r="D4" s="3">
        <v>2957</v>
      </c>
      <c r="E4" s="3">
        <v>33</v>
      </c>
      <c r="F4" s="3">
        <v>97581</v>
      </c>
      <c r="G4" s="3">
        <v>2008</v>
      </c>
      <c r="H4" s="3">
        <v>66264</v>
      </c>
      <c r="I4" s="3">
        <v>31317</v>
      </c>
    </row>
    <row r="5" spans="1:9" x14ac:dyDescent="0.3">
      <c r="A5" s="8">
        <v>4</v>
      </c>
      <c r="B5" s="3" t="s">
        <v>11</v>
      </c>
      <c r="C5" s="3" t="s">
        <v>15</v>
      </c>
      <c r="D5" s="3">
        <v>37593</v>
      </c>
      <c r="E5" s="3">
        <v>49</v>
      </c>
      <c r="F5" s="3">
        <v>1842057</v>
      </c>
      <c r="G5" s="3">
        <v>24986</v>
      </c>
      <c r="H5" s="3">
        <v>1224314</v>
      </c>
      <c r="I5" s="3">
        <v>617743</v>
      </c>
    </row>
    <row r="6" spans="1:9" x14ac:dyDescent="0.3">
      <c r="A6" s="8">
        <v>5</v>
      </c>
      <c r="B6" s="3" t="s">
        <v>16</v>
      </c>
      <c r="C6" s="3" t="s">
        <v>12</v>
      </c>
      <c r="D6" s="3">
        <v>32913</v>
      </c>
      <c r="E6" s="3">
        <v>44</v>
      </c>
      <c r="F6" s="3">
        <v>1448172</v>
      </c>
      <c r="G6" s="3">
        <v>20249</v>
      </c>
      <c r="H6" s="3">
        <v>890956</v>
      </c>
      <c r="I6" s="3">
        <v>557216</v>
      </c>
    </row>
    <row r="7" spans="1:9" ht="13.2" customHeight="1" x14ac:dyDescent="0.3">
      <c r="A7" s="8">
        <v>6</v>
      </c>
      <c r="B7" s="3" t="s">
        <v>16</v>
      </c>
      <c r="C7" s="3" t="s">
        <v>15</v>
      </c>
      <c r="D7" s="3">
        <v>12108</v>
      </c>
      <c r="E7" s="3">
        <v>23</v>
      </c>
      <c r="F7" s="3">
        <v>278484</v>
      </c>
      <c r="G7" s="3">
        <v>6397</v>
      </c>
      <c r="H7" s="3">
        <v>147131</v>
      </c>
      <c r="I7" s="3">
        <v>131353</v>
      </c>
    </row>
    <row r="8" spans="1:9" ht="13.2" customHeight="1" x14ac:dyDescent="0.3">
      <c r="A8" s="8">
        <v>7</v>
      </c>
      <c r="B8" s="3" t="s">
        <v>16</v>
      </c>
      <c r="C8" s="3" t="s">
        <v>15</v>
      </c>
      <c r="D8" s="3">
        <v>9559</v>
      </c>
      <c r="E8" s="3">
        <v>2</v>
      </c>
      <c r="F8" s="3">
        <v>19118</v>
      </c>
      <c r="G8" s="3">
        <v>5839</v>
      </c>
      <c r="H8" s="3">
        <v>11678</v>
      </c>
      <c r="I8" s="3">
        <v>7440</v>
      </c>
    </row>
    <row r="9" spans="1:9" x14ac:dyDescent="0.3">
      <c r="A9" s="8">
        <v>8</v>
      </c>
      <c r="B9" s="3" t="s">
        <v>16</v>
      </c>
      <c r="C9" s="3" t="s">
        <v>15</v>
      </c>
      <c r="D9" s="3">
        <v>8687</v>
      </c>
      <c r="E9" s="3">
        <v>2</v>
      </c>
      <c r="F9" s="3">
        <v>17374</v>
      </c>
      <c r="G9" s="3">
        <v>5709</v>
      </c>
      <c r="H9" s="3">
        <v>11418</v>
      </c>
      <c r="I9" s="3">
        <v>5956</v>
      </c>
    </row>
    <row r="10" spans="1:9" x14ac:dyDescent="0.3">
      <c r="A10" s="8">
        <v>9</v>
      </c>
      <c r="B10" s="3" t="s">
        <v>17</v>
      </c>
      <c r="C10" s="3" t="s">
        <v>10</v>
      </c>
      <c r="D10" s="3">
        <v>6874</v>
      </c>
      <c r="E10" s="3">
        <v>27</v>
      </c>
      <c r="F10" s="3">
        <v>185598</v>
      </c>
      <c r="G10" s="3">
        <v>3796</v>
      </c>
      <c r="H10" s="3">
        <v>102492</v>
      </c>
      <c r="I10" s="3">
        <v>83106</v>
      </c>
    </row>
    <row r="11" spans="1:9" ht="16.2" customHeight="1" x14ac:dyDescent="0.3">
      <c r="A11" s="8">
        <v>10</v>
      </c>
      <c r="B11" s="3" t="s">
        <v>17</v>
      </c>
      <c r="C11" s="3" t="s">
        <v>10</v>
      </c>
      <c r="D11" s="3">
        <v>4083</v>
      </c>
      <c r="E11" s="3">
        <v>29</v>
      </c>
      <c r="F11" s="3">
        <v>118407</v>
      </c>
      <c r="G11" s="3">
        <v>2226</v>
      </c>
      <c r="H11" s="3">
        <v>64554</v>
      </c>
      <c r="I11" s="3">
        <v>53853</v>
      </c>
    </row>
    <row r="12" spans="1:9" x14ac:dyDescent="0.3">
      <c r="A12" s="8">
        <v>11</v>
      </c>
      <c r="B12" s="3" t="s">
        <v>17</v>
      </c>
      <c r="C12" s="3" t="s">
        <v>14</v>
      </c>
      <c r="D12" s="3">
        <v>22326</v>
      </c>
      <c r="E12" s="3">
        <v>2</v>
      </c>
      <c r="F12" s="3">
        <v>44652</v>
      </c>
      <c r="G12" s="3">
        <v>14972</v>
      </c>
      <c r="H12" s="3">
        <v>29944</v>
      </c>
      <c r="I12" s="3">
        <v>14708</v>
      </c>
    </row>
    <row r="13" spans="1:9" x14ac:dyDescent="0.3">
      <c r="A13" s="8">
        <v>12</v>
      </c>
      <c r="B13" s="3" t="s">
        <v>9</v>
      </c>
      <c r="C13" s="3" t="s">
        <v>10</v>
      </c>
      <c r="D13" s="3">
        <v>17505</v>
      </c>
      <c r="E13" s="3">
        <v>35</v>
      </c>
      <c r="F13" s="3">
        <v>612675</v>
      </c>
      <c r="G13" s="3">
        <v>10740</v>
      </c>
      <c r="H13" s="3">
        <v>375900</v>
      </c>
      <c r="I13" s="3">
        <v>236775</v>
      </c>
    </row>
    <row r="14" spans="1:9" x14ac:dyDescent="0.3">
      <c r="A14" s="8">
        <v>13</v>
      </c>
      <c r="B14" s="3" t="s">
        <v>11</v>
      </c>
      <c r="C14" s="3" t="s">
        <v>10</v>
      </c>
      <c r="D14" s="3">
        <v>49108</v>
      </c>
      <c r="E14" s="3">
        <v>34</v>
      </c>
      <c r="F14" s="3">
        <v>1669672</v>
      </c>
      <c r="G14" s="3">
        <v>32346</v>
      </c>
      <c r="H14" s="3">
        <v>1099764</v>
      </c>
      <c r="I14" s="3">
        <v>569908</v>
      </c>
    </row>
    <row r="15" spans="1:9" x14ac:dyDescent="0.3">
      <c r="A15" s="8">
        <v>14</v>
      </c>
      <c r="B15" s="3" t="s">
        <v>18</v>
      </c>
      <c r="C15" s="3" t="s">
        <v>10</v>
      </c>
      <c r="D15" s="3">
        <v>9865</v>
      </c>
      <c r="E15" s="3">
        <v>4</v>
      </c>
      <c r="F15" s="3">
        <v>39460</v>
      </c>
      <c r="G15" s="3">
        <v>7600</v>
      </c>
      <c r="H15" s="3">
        <v>30400</v>
      </c>
      <c r="I15" s="3">
        <v>9060</v>
      </c>
    </row>
    <row r="16" spans="1:9" x14ac:dyDescent="0.3">
      <c r="A16" s="8">
        <v>15</v>
      </c>
      <c r="B16" s="3" t="s">
        <v>13</v>
      </c>
      <c r="C16" s="3" t="s">
        <v>12</v>
      </c>
      <c r="D16" s="3">
        <v>48544</v>
      </c>
      <c r="E16" s="3">
        <v>50</v>
      </c>
      <c r="F16" s="3">
        <v>2427200</v>
      </c>
      <c r="G16" s="3">
        <v>31188</v>
      </c>
      <c r="H16" s="3">
        <v>1559400</v>
      </c>
      <c r="I16" s="3">
        <v>867800</v>
      </c>
    </row>
    <row r="17" spans="1:9" x14ac:dyDescent="0.3">
      <c r="A17" s="8">
        <v>16</v>
      </c>
      <c r="B17" s="3" t="s">
        <v>9</v>
      </c>
      <c r="C17" s="3" t="s">
        <v>15</v>
      </c>
      <c r="D17" s="3">
        <v>28345</v>
      </c>
      <c r="E17" s="3">
        <v>18</v>
      </c>
      <c r="F17" s="3">
        <v>510210</v>
      </c>
      <c r="G17" s="3">
        <v>18774</v>
      </c>
      <c r="H17" s="3">
        <v>337932</v>
      </c>
      <c r="I17" s="3">
        <v>172278</v>
      </c>
    </row>
    <row r="18" spans="1:9" x14ac:dyDescent="0.3">
      <c r="A18" s="8">
        <v>17</v>
      </c>
      <c r="B18" s="3" t="s">
        <v>18</v>
      </c>
      <c r="C18" s="3" t="s">
        <v>10</v>
      </c>
      <c r="D18" s="3">
        <v>45801</v>
      </c>
      <c r="E18" s="3">
        <v>20</v>
      </c>
      <c r="F18" s="3">
        <v>916020</v>
      </c>
      <c r="G18" s="3">
        <v>34337</v>
      </c>
      <c r="H18" s="3">
        <v>686740</v>
      </c>
      <c r="I18" s="3">
        <v>229280</v>
      </c>
    </row>
    <row r="19" spans="1:9" x14ac:dyDescent="0.3">
      <c r="A19" s="8">
        <v>18</v>
      </c>
      <c r="B19" s="3" t="s">
        <v>17</v>
      </c>
      <c r="C19" s="3" t="s">
        <v>15</v>
      </c>
      <c r="D19" s="3">
        <v>45832</v>
      </c>
      <c r="E19" s="3">
        <v>9</v>
      </c>
      <c r="F19" s="3">
        <v>412488</v>
      </c>
      <c r="G19" s="3">
        <v>28470</v>
      </c>
      <c r="H19" s="3">
        <v>256230</v>
      </c>
      <c r="I19" s="3">
        <v>156258</v>
      </c>
    </row>
    <row r="20" spans="1:9" x14ac:dyDescent="0.3">
      <c r="A20" s="8">
        <v>19</v>
      </c>
      <c r="B20" s="3" t="s">
        <v>13</v>
      </c>
      <c r="C20" s="3" t="s">
        <v>15</v>
      </c>
      <c r="D20" s="3">
        <v>18930</v>
      </c>
      <c r="E20" s="3">
        <v>37</v>
      </c>
      <c r="F20" s="3">
        <v>700410</v>
      </c>
      <c r="G20" s="3">
        <v>13541</v>
      </c>
      <c r="H20" s="3">
        <v>501017</v>
      </c>
      <c r="I20" s="3">
        <v>199393</v>
      </c>
    </row>
    <row r="21" spans="1:9" x14ac:dyDescent="0.3">
      <c r="A21" s="8">
        <v>20</v>
      </c>
      <c r="B21" s="3" t="s">
        <v>16</v>
      </c>
      <c r="C21" s="3" t="s">
        <v>12</v>
      </c>
      <c r="D21" s="3">
        <v>36441</v>
      </c>
      <c r="E21" s="3">
        <v>6</v>
      </c>
      <c r="F21" s="3">
        <v>218646</v>
      </c>
      <c r="G21" s="3">
        <v>29133</v>
      </c>
      <c r="H21" s="3">
        <v>174798</v>
      </c>
      <c r="I21" s="3">
        <v>43848</v>
      </c>
    </row>
    <row r="22" spans="1:9" x14ac:dyDescent="0.3">
      <c r="A22" s="8">
        <v>21</v>
      </c>
      <c r="B22" s="3" t="s">
        <v>18</v>
      </c>
      <c r="C22" s="3" t="s">
        <v>15</v>
      </c>
      <c r="D22" s="3">
        <v>46988</v>
      </c>
      <c r="E22" s="3">
        <v>5</v>
      </c>
      <c r="F22" s="3">
        <v>234940</v>
      </c>
      <c r="G22" s="3">
        <v>35624</v>
      </c>
      <c r="H22" s="3">
        <v>178120</v>
      </c>
      <c r="I22" s="3">
        <v>56820</v>
      </c>
    </row>
    <row r="23" spans="1:9" x14ac:dyDescent="0.3">
      <c r="A23" s="8">
        <v>22</v>
      </c>
      <c r="B23" s="3" t="s">
        <v>9</v>
      </c>
      <c r="C23" s="3" t="s">
        <v>12</v>
      </c>
      <c r="D23" s="3">
        <v>1767</v>
      </c>
      <c r="E23" s="3">
        <v>32</v>
      </c>
      <c r="F23" s="3">
        <v>56544</v>
      </c>
      <c r="G23" s="3">
        <v>991</v>
      </c>
      <c r="H23" s="3">
        <v>31712</v>
      </c>
      <c r="I23" s="3">
        <v>24832</v>
      </c>
    </row>
    <row r="24" spans="1:9" x14ac:dyDescent="0.3">
      <c r="A24" s="8">
        <v>23</v>
      </c>
      <c r="B24" s="3" t="s">
        <v>18</v>
      </c>
      <c r="C24" s="3" t="s">
        <v>14</v>
      </c>
      <c r="D24" s="3">
        <v>35969</v>
      </c>
      <c r="E24" s="3">
        <v>4</v>
      </c>
      <c r="F24" s="3">
        <v>143876</v>
      </c>
      <c r="G24" s="3">
        <v>22209</v>
      </c>
      <c r="H24" s="3">
        <v>88836</v>
      </c>
      <c r="I24" s="3">
        <v>55040</v>
      </c>
    </row>
    <row r="25" spans="1:9" x14ac:dyDescent="0.3">
      <c r="A25" s="8">
        <v>24</v>
      </c>
      <c r="B25" s="3" t="s">
        <v>13</v>
      </c>
      <c r="C25" s="3" t="s">
        <v>10</v>
      </c>
      <c r="D25" s="3">
        <v>32553</v>
      </c>
      <c r="E25" s="3">
        <v>22</v>
      </c>
      <c r="F25" s="3">
        <v>716166</v>
      </c>
      <c r="G25" s="3">
        <v>21289</v>
      </c>
      <c r="H25" s="3">
        <v>468358</v>
      </c>
      <c r="I25" s="3">
        <v>247808</v>
      </c>
    </row>
    <row r="26" spans="1:9" x14ac:dyDescent="0.3">
      <c r="A26" s="8">
        <v>25</v>
      </c>
      <c r="B26" s="3" t="s">
        <v>11</v>
      </c>
      <c r="C26" s="3" t="s">
        <v>12</v>
      </c>
      <c r="D26" s="3">
        <v>33508</v>
      </c>
      <c r="E26" s="3">
        <v>39</v>
      </c>
      <c r="F26" s="3">
        <v>1306812</v>
      </c>
      <c r="G26" s="3">
        <v>26006</v>
      </c>
      <c r="H26" s="3">
        <v>1014234</v>
      </c>
      <c r="I26" s="3">
        <v>292578</v>
      </c>
    </row>
    <row r="27" spans="1:9" x14ac:dyDescent="0.3">
      <c r="A27" s="8">
        <v>26</v>
      </c>
      <c r="B27" s="3" t="s">
        <v>13</v>
      </c>
      <c r="C27" s="3" t="s">
        <v>12</v>
      </c>
      <c r="D27" s="3">
        <v>47041</v>
      </c>
      <c r="E27" s="3">
        <v>47</v>
      </c>
      <c r="F27" s="3">
        <v>2210927</v>
      </c>
      <c r="G27" s="3">
        <v>27610</v>
      </c>
      <c r="H27" s="3">
        <v>1297670</v>
      </c>
      <c r="I27" s="3">
        <v>913257</v>
      </c>
    </row>
    <row r="28" spans="1:9" x14ac:dyDescent="0.3">
      <c r="A28" s="8">
        <v>27</v>
      </c>
      <c r="B28" s="3" t="s">
        <v>9</v>
      </c>
      <c r="C28" s="3" t="s">
        <v>14</v>
      </c>
      <c r="D28" s="3">
        <v>9533</v>
      </c>
      <c r="E28" s="3">
        <v>39</v>
      </c>
      <c r="F28" s="3">
        <v>371787</v>
      </c>
      <c r="G28" s="3">
        <v>7362</v>
      </c>
      <c r="H28" s="3">
        <v>287118</v>
      </c>
      <c r="I28" s="3">
        <v>84669</v>
      </c>
    </row>
    <row r="29" spans="1:9" x14ac:dyDescent="0.3">
      <c r="A29" s="8">
        <v>28</v>
      </c>
      <c r="B29" s="3" t="s">
        <v>16</v>
      </c>
      <c r="C29" s="3" t="s">
        <v>14</v>
      </c>
      <c r="D29" s="3">
        <v>4761</v>
      </c>
      <c r="E29" s="3">
        <v>27</v>
      </c>
      <c r="F29" s="3">
        <v>128547</v>
      </c>
      <c r="G29" s="3">
        <v>3772</v>
      </c>
      <c r="H29" s="3">
        <v>101844</v>
      </c>
      <c r="I29" s="3">
        <v>26703</v>
      </c>
    </row>
    <row r="30" spans="1:9" x14ac:dyDescent="0.3">
      <c r="A30" s="8">
        <v>29</v>
      </c>
      <c r="B30" s="3" t="s">
        <v>17</v>
      </c>
      <c r="C30" s="3" t="s">
        <v>15</v>
      </c>
      <c r="D30" s="3">
        <v>16240</v>
      </c>
      <c r="E30" s="3">
        <v>50</v>
      </c>
      <c r="F30" s="3">
        <v>812000</v>
      </c>
      <c r="G30" s="3">
        <v>10630</v>
      </c>
      <c r="H30" s="3">
        <v>531500</v>
      </c>
      <c r="I30" s="3">
        <v>280500</v>
      </c>
    </row>
    <row r="31" spans="1:9" x14ac:dyDescent="0.3">
      <c r="A31" s="8">
        <v>30</v>
      </c>
      <c r="B31" s="3" t="s">
        <v>13</v>
      </c>
      <c r="C31" s="3" t="s">
        <v>15</v>
      </c>
      <c r="D31" s="3">
        <v>37512</v>
      </c>
      <c r="E31" s="3">
        <v>43</v>
      </c>
      <c r="F31" s="3">
        <v>1613016</v>
      </c>
      <c r="G31" s="3">
        <v>29630</v>
      </c>
      <c r="H31" s="3">
        <v>1274090</v>
      </c>
      <c r="I31" s="3">
        <v>338926</v>
      </c>
    </row>
    <row r="32" spans="1:9" x14ac:dyDescent="0.3">
      <c r="A32" s="8">
        <v>31</v>
      </c>
      <c r="B32" s="3" t="s">
        <v>11</v>
      </c>
      <c r="C32" s="3" t="s">
        <v>12</v>
      </c>
      <c r="D32" s="3">
        <v>5128</v>
      </c>
      <c r="E32" s="3">
        <v>12</v>
      </c>
      <c r="F32" s="3">
        <v>61536</v>
      </c>
      <c r="G32" s="3">
        <v>3474</v>
      </c>
      <c r="H32" s="3">
        <v>41688</v>
      </c>
      <c r="I32" s="3">
        <v>19848</v>
      </c>
    </row>
    <row r="33" spans="1:9" x14ac:dyDescent="0.3">
      <c r="A33" s="8">
        <v>32</v>
      </c>
      <c r="B33" s="3" t="s">
        <v>9</v>
      </c>
      <c r="C33" s="3" t="s">
        <v>12</v>
      </c>
      <c r="D33" s="3">
        <v>8019</v>
      </c>
      <c r="E33" s="3">
        <v>21</v>
      </c>
      <c r="F33" s="3">
        <v>168399</v>
      </c>
      <c r="G33" s="3">
        <v>6023</v>
      </c>
      <c r="H33" s="3">
        <v>126483</v>
      </c>
      <c r="I33" s="3">
        <v>41916</v>
      </c>
    </row>
    <row r="34" spans="1:9" x14ac:dyDescent="0.3">
      <c r="A34" s="8">
        <v>33</v>
      </c>
      <c r="B34" s="3" t="s">
        <v>11</v>
      </c>
      <c r="C34" s="3" t="s">
        <v>15</v>
      </c>
      <c r="D34" s="3">
        <v>30106</v>
      </c>
      <c r="E34" s="3">
        <v>16</v>
      </c>
      <c r="F34" s="3">
        <v>481696</v>
      </c>
      <c r="G34" s="3">
        <v>21028</v>
      </c>
      <c r="H34" s="3">
        <v>336448</v>
      </c>
      <c r="I34" s="3">
        <v>145248</v>
      </c>
    </row>
    <row r="35" spans="1:9" x14ac:dyDescent="0.3">
      <c r="A35" s="8">
        <v>34</v>
      </c>
      <c r="B35" s="3" t="s">
        <v>16</v>
      </c>
      <c r="C35" s="3" t="s">
        <v>15</v>
      </c>
      <c r="D35" s="3">
        <v>22694</v>
      </c>
      <c r="E35" s="3">
        <v>11</v>
      </c>
      <c r="F35" s="3">
        <v>249634</v>
      </c>
      <c r="G35" s="3">
        <v>17934</v>
      </c>
      <c r="H35" s="3">
        <v>197274</v>
      </c>
      <c r="I35" s="3">
        <v>52360</v>
      </c>
    </row>
    <row r="36" spans="1:9" x14ac:dyDescent="0.3">
      <c r="A36" s="8">
        <v>35</v>
      </c>
      <c r="B36" s="3" t="s">
        <v>18</v>
      </c>
      <c r="C36" s="3" t="s">
        <v>14</v>
      </c>
      <c r="D36" s="3">
        <v>15981</v>
      </c>
      <c r="E36" s="3">
        <v>33</v>
      </c>
      <c r="F36" s="3">
        <v>527373</v>
      </c>
      <c r="G36" s="3">
        <v>10120</v>
      </c>
      <c r="H36" s="3">
        <v>333960</v>
      </c>
      <c r="I36" s="3">
        <v>193413</v>
      </c>
    </row>
    <row r="37" spans="1:9" x14ac:dyDescent="0.3">
      <c r="A37" s="8">
        <v>36</v>
      </c>
      <c r="B37" s="3" t="s">
        <v>16</v>
      </c>
      <c r="C37" s="3" t="s">
        <v>15</v>
      </c>
      <c r="D37" s="3">
        <v>19239</v>
      </c>
      <c r="E37" s="3">
        <v>31</v>
      </c>
      <c r="F37" s="3">
        <v>596409</v>
      </c>
      <c r="G37" s="3">
        <v>9841</v>
      </c>
      <c r="H37" s="3">
        <v>305071</v>
      </c>
      <c r="I37" s="3">
        <v>291338</v>
      </c>
    </row>
    <row r="38" spans="1:9" x14ac:dyDescent="0.3">
      <c r="A38" s="8">
        <v>37</v>
      </c>
      <c r="B38" s="3" t="s">
        <v>16</v>
      </c>
      <c r="C38" s="3" t="s">
        <v>10</v>
      </c>
      <c r="D38" s="3">
        <v>9478</v>
      </c>
      <c r="E38" s="3">
        <v>10</v>
      </c>
      <c r="F38" s="3">
        <v>94780</v>
      </c>
      <c r="G38" s="3">
        <v>6883</v>
      </c>
      <c r="H38" s="3">
        <v>68830</v>
      </c>
      <c r="I38" s="3">
        <v>25950</v>
      </c>
    </row>
    <row r="39" spans="1:9" x14ac:dyDescent="0.3">
      <c r="A39" s="8">
        <v>38</v>
      </c>
      <c r="B39" s="3" t="s">
        <v>11</v>
      </c>
      <c r="C39" s="3" t="s">
        <v>15</v>
      </c>
      <c r="D39" s="3">
        <v>49578</v>
      </c>
      <c r="E39" s="3">
        <v>47</v>
      </c>
      <c r="F39" s="3">
        <v>2330166</v>
      </c>
      <c r="G39" s="3">
        <v>28014</v>
      </c>
      <c r="H39" s="3">
        <v>1316658</v>
      </c>
      <c r="I39" s="3">
        <v>1013508</v>
      </c>
    </row>
    <row r="40" spans="1:9" x14ac:dyDescent="0.3">
      <c r="A40" s="8">
        <v>39</v>
      </c>
      <c r="B40" s="3" t="s">
        <v>16</v>
      </c>
      <c r="C40" s="3" t="s">
        <v>12</v>
      </c>
      <c r="D40" s="3">
        <v>10476</v>
      </c>
      <c r="E40" s="3">
        <v>32</v>
      </c>
      <c r="F40" s="3">
        <v>335232</v>
      </c>
      <c r="G40" s="3">
        <v>7520</v>
      </c>
      <c r="H40" s="3">
        <v>240640</v>
      </c>
      <c r="I40" s="3">
        <v>94592</v>
      </c>
    </row>
    <row r="41" spans="1:9" x14ac:dyDescent="0.3">
      <c r="A41" s="8">
        <v>40</v>
      </c>
      <c r="B41" s="3" t="s">
        <v>17</v>
      </c>
      <c r="C41" s="3" t="s">
        <v>14</v>
      </c>
      <c r="D41" s="3">
        <v>16484</v>
      </c>
      <c r="E41" s="3">
        <v>2</v>
      </c>
      <c r="F41" s="3">
        <v>32968</v>
      </c>
      <c r="G41" s="3">
        <v>11215</v>
      </c>
      <c r="H41" s="3">
        <v>22430</v>
      </c>
      <c r="I41" s="3">
        <v>10538</v>
      </c>
    </row>
    <row r="42" spans="1:9" x14ac:dyDescent="0.3">
      <c r="A42" s="8">
        <v>41</v>
      </c>
      <c r="B42" s="3" t="s">
        <v>18</v>
      </c>
      <c r="C42" s="3" t="s">
        <v>12</v>
      </c>
      <c r="D42" s="3">
        <v>46651</v>
      </c>
      <c r="E42" s="3">
        <v>46</v>
      </c>
      <c r="F42" s="3">
        <v>2145946</v>
      </c>
      <c r="G42" s="3">
        <v>29705</v>
      </c>
      <c r="H42" s="3">
        <v>1366430</v>
      </c>
      <c r="I42" s="3">
        <v>779516</v>
      </c>
    </row>
    <row r="43" spans="1:9" x14ac:dyDescent="0.3">
      <c r="A43" s="8">
        <v>42</v>
      </c>
      <c r="B43" s="3" t="s">
        <v>11</v>
      </c>
      <c r="C43" s="3" t="s">
        <v>15</v>
      </c>
      <c r="D43" s="3">
        <v>29609</v>
      </c>
      <c r="E43" s="3">
        <v>27</v>
      </c>
      <c r="F43" s="3">
        <v>799443</v>
      </c>
      <c r="G43" s="3">
        <v>17175</v>
      </c>
      <c r="H43" s="3">
        <v>463725</v>
      </c>
      <c r="I43" s="3">
        <v>335718</v>
      </c>
    </row>
    <row r="44" spans="1:9" x14ac:dyDescent="0.3">
      <c r="A44" s="8">
        <v>43</v>
      </c>
      <c r="B44" s="3" t="s">
        <v>13</v>
      </c>
      <c r="C44" s="3" t="s">
        <v>14</v>
      </c>
      <c r="D44" s="3">
        <v>40166</v>
      </c>
      <c r="E44" s="3">
        <v>22</v>
      </c>
      <c r="F44" s="3">
        <v>883652</v>
      </c>
      <c r="G44" s="3">
        <v>26877</v>
      </c>
      <c r="H44" s="3">
        <v>591294</v>
      </c>
      <c r="I44" s="3">
        <v>292358</v>
      </c>
    </row>
    <row r="45" spans="1:9" x14ac:dyDescent="0.3">
      <c r="A45" s="8">
        <v>44</v>
      </c>
      <c r="B45" s="3" t="s">
        <v>11</v>
      </c>
      <c r="C45" s="3" t="s">
        <v>12</v>
      </c>
      <c r="D45" s="3">
        <v>25832</v>
      </c>
      <c r="E45" s="3">
        <v>23</v>
      </c>
      <c r="F45" s="3">
        <v>594136</v>
      </c>
      <c r="G45" s="3">
        <v>13421</v>
      </c>
      <c r="H45" s="3">
        <v>308683</v>
      </c>
      <c r="I45" s="3">
        <v>285453</v>
      </c>
    </row>
    <row r="46" spans="1:9" x14ac:dyDescent="0.3">
      <c r="A46" s="8">
        <v>45</v>
      </c>
      <c r="B46" s="3" t="s">
        <v>17</v>
      </c>
      <c r="C46" s="3" t="s">
        <v>10</v>
      </c>
      <c r="D46" s="3">
        <v>34566</v>
      </c>
      <c r="E46" s="3">
        <v>46</v>
      </c>
      <c r="F46" s="3">
        <v>1590036</v>
      </c>
      <c r="G46" s="3">
        <v>26760</v>
      </c>
      <c r="H46" s="3">
        <v>1230960</v>
      </c>
      <c r="I46" s="3">
        <v>359076</v>
      </c>
    </row>
    <row r="47" spans="1:9" x14ac:dyDescent="0.3">
      <c r="A47" s="8">
        <v>46</v>
      </c>
      <c r="B47" s="3" t="s">
        <v>13</v>
      </c>
      <c r="C47" s="3" t="s">
        <v>10</v>
      </c>
      <c r="D47" s="3">
        <v>6823</v>
      </c>
      <c r="E47" s="3">
        <v>33</v>
      </c>
      <c r="F47" s="3">
        <v>225159</v>
      </c>
      <c r="G47" s="3">
        <v>4118</v>
      </c>
      <c r="H47" s="3">
        <v>135894</v>
      </c>
      <c r="I47" s="3">
        <v>89265</v>
      </c>
    </row>
    <row r="48" spans="1:9" x14ac:dyDescent="0.3">
      <c r="A48" s="8">
        <v>47</v>
      </c>
      <c r="B48" s="3" t="s">
        <v>11</v>
      </c>
      <c r="C48" s="3" t="s">
        <v>12</v>
      </c>
      <c r="D48" s="3">
        <v>49214</v>
      </c>
      <c r="E48" s="3">
        <v>20</v>
      </c>
      <c r="F48" s="3">
        <v>984280</v>
      </c>
      <c r="G48" s="3">
        <v>35450</v>
      </c>
      <c r="H48" s="3">
        <v>709000</v>
      </c>
      <c r="I48" s="3">
        <v>275280</v>
      </c>
    </row>
    <row r="49" spans="1:9" x14ac:dyDescent="0.3">
      <c r="A49" s="8">
        <v>48</v>
      </c>
      <c r="B49" s="3" t="s">
        <v>13</v>
      </c>
      <c r="C49" s="3" t="s">
        <v>14</v>
      </c>
      <c r="D49" s="3">
        <v>20054</v>
      </c>
      <c r="E49" s="3">
        <v>3</v>
      </c>
      <c r="F49" s="3">
        <v>60162</v>
      </c>
      <c r="G49" s="3">
        <v>12819</v>
      </c>
      <c r="H49" s="3">
        <v>38457</v>
      </c>
      <c r="I49" s="3">
        <v>21705</v>
      </c>
    </row>
    <row r="50" spans="1:9" x14ac:dyDescent="0.3">
      <c r="A50" s="8">
        <v>49</v>
      </c>
      <c r="B50" s="3" t="s">
        <v>18</v>
      </c>
      <c r="C50" s="3" t="s">
        <v>14</v>
      </c>
      <c r="D50" s="3">
        <v>45112</v>
      </c>
      <c r="E50" s="3">
        <v>44</v>
      </c>
      <c r="F50" s="3">
        <v>1984928</v>
      </c>
      <c r="G50" s="3">
        <v>30162</v>
      </c>
      <c r="H50" s="3">
        <v>1327128</v>
      </c>
      <c r="I50" s="3">
        <v>657800</v>
      </c>
    </row>
    <row r="51" spans="1:9" x14ac:dyDescent="0.3">
      <c r="A51" s="8">
        <v>50</v>
      </c>
      <c r="B51" s="3" t="s">
        <v>17</v>
      </c>
      <c r="C51" s="3" t="s">
        <v>12</v>
      </c>
      <c r="D51" s="3">
        <v>41995</v>
      </c>
      <c r="E51" s="3">
        <v>37</v>
      </c>
      <c r="F51" s="3">
        <v>1553815</v>
      </c>
      <c r="G51" s="3">
        <v>32361</v>
      </c>
      <c r="H51" s="3">
        <v>1197357</v>
      </c>
      <c r="I51" s="3">
        <v>356458</v>
      </c>
    </row>
    <row r="52" spans="1:9" x14ac:dyDescent="0.3">
      <c r="A52" s="8">
        <v>51</v>
      </c>
      <c r="B52" s="3" t="s">
        <v>9</v>
      </c>
      <c r="C52" s="3" t="s">
        <v>12</v>
      </c>
      <c r="D52" s="3">
        <v>43391</v>
      </c>
      <c r="E52" s="3">
        <v>35</v>
      </c>
      <c r="F52" s="3">
        <v>1518685</v>
      </c>
      <c r="G52" s="3">
        <v>31302</v>
      </c>
      <c r="H52" s="3">
        <v>1095570</v>
      </c>
      <c r="I52" s="3">
        <v>423115</v>
      </c>
    </row>
    <row r="53" spans="1:9" x14ac:dyDescent="0.3">
      <c r="A53" s="8">
        <v>52</v>
      </c>
      <c r="B53" s="3" t="s">
        <v>16</v>
      </c>
      <c r="C53" s="3" t="s">
        <v>14</v>
      </c>
      <c r="D53" s="3">
        <v>26071</v>
      </c>
      <c r="E53" s="3">
        <v>10</v>
      </c>
      <c r="F53" s="3">
        <v>260710</v>
      </c>
      <c r="G53" s="3">
        <v>17732</v>
      </c>
      <c r="H53" s="3">
        <v>177320</v>
      </c>
      <c r="I53" s="3">
        <v>83390</v>
      </c>
    </row>
    <row r="54" spans="1:9" x14ac:dyDescent="0.3">
      <c r="A54" s="8">
        <v>53</v>
      </c>
      <c r="B54" s="3" t="s">
        <v>9</v>
      </c>
      <c r="C54" s="3" t="s">
        <v>12</v>
      </c>
      <c r="D54" s="3">
        <v>5030</v>
      </c>
      <c r="E54" s="3">
        <v>26</v>
      </c>
      <c r="F54" s="3">
        <v>130780</v>
      </c>
      <c r="G54" s="3">
        <v>3343</v>
      </c>
      <c r="H54" s="3">
        <v>86918</v>
      </c>
      <c r="I54" s="3">
        <v>43862</v>
      </c>
    </row>
    <row r="55" spans="1:9" x14ac:dyDescent="0.3">
      <c r="A55" s="8">
        <v>54</v>
      </c>
      <c r="B55" s="3" t="s">
        <v>9</v>
      </c>
      <c r="C55" s="3" t="s">
        <v>12</v>
      </c>
      <c r="D55" s="3">
        <v>2474</v>
      </c>
      <c r="E55" s="3">
        <v>2</v>
      </c>
      <c r="F55" s="3">
        <v>4948</v>
      </c>
      <c r="G55" s="3">
        <v>1795</v>
      </c>
      <c r="H55" s="3">
        <v>3590</v>
      </c>
      <c r="I55" s="3">
        <v>1358</v>
      </c>
    </row>
    <row r="56" spans="1:9" x14ac:dyDescent="0.3">
      <c r="A56" s="8">
        <v>55</v>
      </c>
      <c r="B56" s="3" t="s">
        <v>9</v>
      </c>
      <c r="C56" s="3" t="s">
        <v>10</v>
      </c>
      <c r="D56" s="3">
        <v>2838</v>
      </c>
      <c r="E56" s="3">
        <v>15</v>
      </c>
      <c r="F56" s="3">
        <v>42570</v>
      </c>
      <c r="G56" s="3">
        <v>1425</v>
      </c>
      <c r="H56" s="3">
        <v>21375</v>
      </c>
      <c r="I56" s="3">
        <v>21195</v>
      </c>
    </row>
    <row r="57" spans="1:9" x14ac:dyDescent="0.3">
      <c r="A57" s="8">
        <v>56</v>
      </c>
      <c r="B57" s="3" t="s">
        <v>11</v>
      </c>
      <c r="C57" s="3" t="s">
        <v>12</v>
      </c>
      <c r="D57" s="3">
        <v>26876</v>
      </c>
      <c r="E57" s="3">
        <v>10</v>
      </c>
      <c r="F57" s="3">
        <v>268760</v>
      </c>
      <c r="G57" s="3">
        <v>17683</v>
      </c>
      <c r="H57" s="3">
        <v>176830</v>
      </c>
      <c r="I57" s="3">
        <v>91930</v>
      </c>
    </row>
    <row r="58" spans="1:9" x14ac:dyDescent="0.3">
      <c r="A58" s="8">
        <v>57</v>
      </c>
      <c r="B58" s="3" t="s">
        <v>18</v>
      </c>
      <c r="C58" s="3" t="s">
        <v>15</v>
      </c>
      <c r="D58" s="3">
        <v>5220</v>
      </c>
      <c r="E58" s="3">
        <v>41</v>
      </c>
      <c r="F58" s="3">
        <v>214020</v>
      </c>
      <c r="G58" s="3">
        <v>2770</v>
      </c>
      <c r="H58" s="3">
        <v>113570</v>
      </c>
      <c r="I58" s="3">
        <v>100450</v>
      </c>
    </row>
    <row r="59" spans="1:9" x14ac:dyDescent="0.3">
      <c r="A59" s="8">
        <v>58</v>
      </c>
      <c r="B59" s="3" t="s">
        <v>11</v>
      </c>
      <c r="C59" s="3" t="s">
        <v>12</v>
      </c>
      <c r="D59" s="3">
        <v>31844</v>
      </c>
      <c r="E59" s="3">
        <v>19</v>
      </c>
      <c r="F59" s="3">
        <v>605036</v>
      </c>
      <c r="G59" s="3">
        <v>24558</v>
      </c>
      <c r="H59" s="3">
        <v>466602</v>
      </c>
      <c r="I59" s="3">
        <v>138434</v>
      </c>
    </row>
    <row r="60" spans="1:9" x14ac:dyDescent="0.3">
      <c r="A60" s="8">
        <v>59</v>
      </c>
      <c r="B60" s="3" t="s">
        <v>16</v>
      </c>
      <c r="C60" s="3" t="s">
        <v>15</v>
      </c>
      <c r="D60" s="3">
        <v>43042</v>
      </c>
      <c r="E60" s="3">
        <v>43</v>
      </c>
      <c r="F60" s="3">
        <v>1850806</v>
      </c>
      <c r="G60" s="3">
        <v>28718</v>
      </c>
      <c r="H60" s="3">
        <v>1234874</v>
      </c>
      <c r="I60" s="3">
        <v>615932</v>
      </c>
    </row>
    <row r="61" spans="1:9" x14ac:dyDescent="0.3">
      <c r="A61" s="8">
        <v>60</v>
      </c>
      <c r="B61" s="3" t="s">
        <v>18</v>
      </c>
      <c r="C61" s="3" t="s">
        <v>15</v>
      </c>
      <c r="D61" s="3">
        <v>46480</v>
      </c>
      <c r="E61" s="3">
        <v>29</v>
      </c>
      <c r="F61" s="3">
        <v>1347920</v>
      </c>
      <c r="G61" s="3">
        <v>36228</v>
      </c>
      <c r="H61" s="3">
        <v>1050612</v>
      </c>
      <c r="I61" s="3">
        <v>297308</v>
      </c>
    </row>
    <row r="62" spans="1:9" x14ac:dyDescent="0.3">
      <c r="A62" s="8">
        <v>61</v>
      </c>
      <c r="B62" s="3" t="s">
        <v>13</v>
      </c>
      <c r="C62" s="3" t="s">
        <v>12</v>
      </c>
      <c r="D62" s="3">
        <v>47692</v>
      </c>
      <c r="E62" s="3">
        <v>50</v>
      </c>
      <c r="F62" s="3">
        <v>2384600</v>
      </c>
      <c r="G62" s="3">
        <v>24062</v>
      </c>
      <c r="H62" s="3">
        <v>1203100</v>
      </c>
      <c r="I62" s="3">
        <v>1181500</v>
      </c>
    </row>
    <row r="63" spans="1:9" x14ac:dyDescent="0.3">
      <c r="A63" s="8">
        <v>62</v>
      </c>
      <c r="B63" s="3" t="s">
        <v>16</v>
      </c>
      <c r="C63" s="3" t="s">
        <v>14</v>
      </c>
      <c r="D63" s="3">
        <v>19444</v>
      </c>
      <c r="E63" s="3">
        <v>25</v>
      </c>
      <c r="F63" s="3">
        <v>486100</v>
      </c>
      <c r="G63" s="3">
        <v>12225</v>
      </c>
      <c r="H63" s="3">
        <v>305625</v>
      </c>
      <c r="I63" s="3">
        <v>180475</v>
      </c>
    </row>
    <row r="64" spans="1:9" x14ac:dyDescent="0.3">
      <c r="A64" s="8">
        <v>63</v>
      </c>
      <c r="B64" s="3" t="s">
        <v>16</v>
      </c>
      <c r="C64" s="3" t="s">
        <v>10</v>
      </c>
      <c r="D64" s="3">
        <v>5448</v>
      </c>
      <c r="E64" s="3">
        <v>41</v>
      </c>
      <c r="F64" s="3">
        <v>223368</v>
      </c>
      <c r="G64" s="3">
        <v>3056</v>
      </c>
      <c r="H64" s="3">
        <v>125296</v>
      </c>
      <c r="I64" s="3">
        <v>98072</v>
      </c>
    </row>
    <row r="65" spans="1:9" x14ac:dyDescent="0.3">
      <c r="A65" s="8">
        <v>64</v>
      </c>
      <c r="B65" s="3" t="s">
        <v>9</v>
      </c>
      <c r="C65" s="3" t="s">
        <v>12</v>
      </c>
      <c r="D65" s="3">
        <v>8997</v>
      </c>
      <c r="E65" s="3">
        <v>37</v>
      </c>
      <c r="F65" s="3">
        <v>332889</v>
      </c>
      <c r="G65" s="3">
        <v>5346</v>
      </c>
      <c r="H65" s="3">
        <v>197802</v>
      </c>
      <c r="I65" s="3">
        <v>135087</v>
      </c>
    </row>
    <row r="66" spans="1:9" x14ac:dyDescent="0.3">
      <c r="A66" s="8">
        <v>65</v>
      </c>
      <c r="B66" s="3" t="s">
        <v>17</v>
      </c>
      <c r="C66" s="3" t="s">
        <v>15</v>
      </c>
      <c r="D66" s="3">
        <v>4620</v>
      </c>
      <c r="E66" s="3">
        <v>14</v>
      </c>
      <c r="F66" s="3">
        <v>64680</v>
      </c>
      <c r="G66" s="3">
        <v>3239</v>
      </c>
      <c r="H66" s="3">
        <v>45346</v>
      </c>
      <c r="I66" s="3">
        <v>19334</v>
      </c>
    </row>
    <row r="67" spans="1:9" x14ac:dyDescent="0.3">
      <c r="A67" s="8">
        <v>66</v>
      </c>
      <c r="B67" s="3" t="s">
        <v>17</v>
      </c>
      <c r="C67" s="3" t="s">
        <v>12</v>
      </c>
      <c r="D67" s="3">
        <v>28114</v>
      </c>
      <c r="E67" s="3">
        <v>10</v>
      </c>
      <c r="F67" s="3">
        <v>281140</v>
      </c>
      <c r="G67" s="3">
        <v>18743</v>
      </c>
      <c r="H67" s="3">
        <v>187430</v>
      </c>
      <c r="I67" s="3">
        <v>93710</v>
      </c>
    </row>
    <row r="68" spans="1:9" x14ac:dyDescent="0.3">
      <c r="A68" s="8">
        <v>67</v>
      </c>
      <c r="B68" s="3" t="s">
        <v>16</v>
      </c>
      <c r="C68" s="3" t="s">
        <v>15</v>
      </c>
      <c r="D68" s="3">
        <v>30523</v>
      </c>
      <c r="E68" s="3">
        <v>46</v>
      </c>
      <c r="F68" s="3">
        <v>1404058</v>
      </c>
      <c r="G68" s="3">
        <v>18933</v>
      </c>
      <c r="H68" s="3">
        <v>870918</v>
      </c>
      <c r="I68" s="3">
        <v>533140</v>
      </c>
    </row>
    <row r="69" spans="1:9" x14ac:dyDescent="0.3">
      <c r="A69" s="8">
        <v>68</v>
      </c>
      <c r="B69" s="3" t="s">
        <v>9</v>
      </c>
      <c r="C69" s="3" t="s">
        <v>12</v>
      </c>
      <c r="D69" s="3">
        <v>17132</v>
      </c>
      <c r="E69" s="3">
        <v>34</v>
      </c>
      <c r="F69" s="3">
        <v>582488</v>
      </c>
      <c r="G69" s="3">
        <v>9759</v>
      </c>
      <c r="H69" s="3">
        <v>331806</v>
      </c>
      <c r="I69" s="3">
        <v>250682</v>
      </c>
    </row>
    <row r="70" spans="1:9" x14ac:dyDescent="0.3">
      <c r="A70" s="8">
        <v>69</v>
      </c>
      <c r="B70" s="3" t="s">
        <v>9</v>
      </c>
      <c r="C70" s="3" t="s">
        <v>15</v>
      </c>
      <c r="D70" s="3">
        <v>24584</v>
      </c>
      <c r="E70" s="3">
        <v>25</v>
      </c>
      <c r="F70" s="3">
        <v>614600</v>
      </c>
      <c r="G70" s="3">
        <v>19345</v>
      </c>
      <c r="H70" s="3">
        <v>483625</v>
      </c>
      <c r="I70" s="3">
        <v>130975</v>
      </c>
    </row>
    <row r="71" spans="1:9" x14ac:dyDescent="0.3">
      <c r="A71" s="8">
        <v>70</v>
      </c>
      <c r="B71" s="3" t="s">
        <v>9</v>
      </c>
      <c r="C71" s="3" t="s">
        <v>10</v>
      </c>
      <c r="D71" s="3">
        <v>16775</v>
      </c>
      <c r="E71" s="3">
        <v>6</v>
      </c>
      <c r="F71" s="3">
        <v>100650</v>
      </c>
      <c r="G71" s="3">
        <v>9679</v>
      </c>
      <c r="H71" s="3">
        <v>58074</v>
      </c>
      <c r="I71" s="3">
        <v>42576</v>
      </c>
    </row>
    <row r="72" spans="1:9" x14ac:dyDescent="0.3">
      <c r="A72" s="8">
        <v>71</v>
      </c>
      <c r="B72" s="3" t="s">
        <v>18</v>
      </c>
      <c r="C72" s="3" t="s">
        <v>14</v>
      </c>
      <c r="D72" s="3">
        <v>38613</v>
      </c>
      <c r="E72" s="3">
        <v>10</v>
      </c>
      <c r="F72" s="3">
        <v>386130</v>
      </c>
      <c r="G72" s="3">
        <v>28444</v>
      </c>
      <c r="H72" s="3">
        <v>284440</v>
      </c>
      <c r="I72" s="3">
        <v>101690</v>
      </c>
    </row>
    <row r="73" spans="1:9" x14ac:dyDescent="0.3">
      <c r="A73" s="8">
        <v>72</v>
      </c>
      <c r="B73" s="3" t="s">
        <v>13</v>
      </c>
      <c r="C73" s="3" t="s">
        <v>10</v>
      </c>
      <c r="D73" s="3">
        <v>46665</v>
      </c>
      <c r="E73" s="3">
        <v>4</v>
      </c>
      <c r="F73" s="3">
        <v>186660</v>
      </c>
      <c r="G73" s="3">
        <v>25974</v>
      </c>
      <c r="H73" s="3">
        <v>103896</v>
      </c>
      <c r="I73" s="3">
        <v>82764</v>
      </c>
    </row>
    <row r="74" spans="1:9" x14ac:dyDescent="0.3">
      <c r="A74" s="8">
        <v>73</v>
      </c>
      <c r="B74" s="3" t="s">
        <v>17</v>
      </c>
      <c r="C74" s="3" t="s">
        <v>12</v>
      </c>
      <c r="D74" s="3">
        <v>27422</v>
      </c>
      <c r="E74" s="3">
        <v>6</v>
      </c>
      <c r="F74" s="3">
        <v>164532</v>
      </c>
      <c r="G74" s="3">
        <v>19674</v>
      </c>
      <c r="H74" s="3">
        <v>118044</v>
      </c>
      <c r="I74" s="3">
        <v>46488</v>
      </c>
    </row>
    <row r="75" spans="1:9" x14ac:dyDescent="0.3">
      <c r="A75" s="8">
        <v>74</v>
      </c>
      <c r="B75" s="3" t="s">
        <v>17</v>
      </c>
      <c r="C75" s="3" t="s">
        <v>15</v>
      </c>
      <c r="D75" s="3">
        <v>38293</v>
      </c>
      <c r="E75" s="3">
        <v>45</v>
      </c>
      <c r="F75" s="3">
        <v>1723185</v>
      </c>
      <c r="G75" s="3">
        <v>25212</v>
      </c>
      <c r="H75" s="3">
        <v>1134540</v>
      </c>
      <c r="I75" s="3">
        <v>588645</v>
      </c>
    </row>
    <row r="76" spans="1:9" x14ac:dyDescent="0.3">
      <c r="A76" s="8">
        <v>75</v>
      </c>
      <c r="B76" s="3" t="s">
        <v>16</v>
      </c>
      <c r="C76" s="3" t="s">
        <v>12</v>
      </c>
      <c r="D76" s="3">
        <v>4766</v>
      </c>
      <c r="E76" s="3">
        <v>34</v>
      </c>
      <c r="F76" s="3">
        <v>162044</v>
      </c>
      <c r="G76" s="3">
        <v>3262</v>
      </c>
      <c r="H76" s="3">
        <v>110908</v>
      </c>
      <c r="I76" s="3">
        <v>51136</v>
      </c>
    </row>
    <row r="77" spans="1:9" x14ac:dyDescent="0.3">
      <c r="A77" s="8">
        <v>76</v>
      </c>
      <c r="B77" s="3" t="s">
        <v>13</v>
      </c>
      <c r="C77" s="3" t="s">
        <v>15</v>
      </c>
      <c r="D77" s="3">
        <v>34416</v>
      </c>
      <c r="E77" s="3">
        <v>46</v>
      </c>
      <c r="F77" s="3">
        <v>1583136</v>
      </c>
      <c r="G77" s="3">
        <v>23188</v>
      </c>
      <c r="H77" s="3">
        <v>1066648</v>
      </c>
      <c r="I77" s="3">
        <v>516488</v>
      </c>
    </row>
    <row r="78" spans="1:9" x14ac:dyDescent="0.3">
      <c r="A78" s="8">
        <v>77</v>
      </c>
      <c r="B78" s="3" t="s">
        <v>17</v>
      </c>
      <c r="C78" s="3" t="s">
        <v>15</v>
      </c>
      <c r="D78" s="3">
        <v>23931</v>
      </c>
      <c r="E78" s="3">
        <v>9</v>
      </c>
      <c r="F78" s="3">
        <v>215379</v>
      </c>
      <c r="G78" s="3">
        <v>17853</v>
      </c>
      <c r="H78" s="3">
        <v>160677</v>
      </c>
      <c r="I78" s="3">
        <v>54702</v>
      </c>
    </row>
    <row r="79" spans="1:9" x14ac:dyDescent="0.3">
      <c r="A79" s="8">
        <v>78</v>
      </c>
      <c r="B79" s="3" t="s">
        <v>13</v>
      </c>
      <c r="C79" s="3" t="s">
        <v>12</v>
      </c>
      <c r="D79" s="3">
        <v>41791</v>
      </c>
      <c r="E79" s="3">
        <v>39</v>
      </c>
      <c r="F79" s="3">
        <v>1629849</v>
      </c>
      <c r="G79" s="3">
        <v>24718</v>
      </c>
      <c r="H79" s="3">
        <v>964002</v>
      </c>
      <c r="I79" s="3">
        <v>665847</v>
      </c>
    </row>
    <row r="80" spans="1:9" x14ac:dyDescent="0.3">
      <c r="A80" s="8">
        <v>79</v>
      </c>
      <c r="B80" s="3" t="s">
        <v>16</v>
      </c>
      <c r="C80" s="3" t="s">
        <v>14</v>
      </c>
      <c r="D80" s="3">
        <v>36381</v>
      </c>
      <c r="E80" s="3">
        <v>3</v>
      </c>
      <c r="F80" s="3">
        <v>109143</v>
      </c>
      <c r="G80" s="3">
        <v>23089</v>
      </c>
      <c r="H80" s="3">
        <v>69267</v>
      </c>
      <c r="I80" s="3">
        <v>39876</v>
      </c>
    </row>
    <row r="81" spans="1:9" x14ac:dyDescent="0.3">
      <c r="A81" s="8">
        <v>80</v>
      </c>
      <c r="B81" s="3" t="s">
        <v>16</v>
      </c>
      <c r="C81" s="3" t="s">
        <v>15</v>
      </c>
      <c r="D81" s="3">
        <v>15090</v>
      </c>
      <c r="E81" s="3">
        <v>32</v>
      </c>
      <c r="F81" s="3">
        <v>482880</v>
      </c>
      <c r="G81" s="3">
        <v>11192</v>
      </c>
      <c r="H81" s="3">
        <v>358144</v>
      </c>
      <c r="I81" s="3">
        <v>124736</v>
      </c>
    </row>
    <row r="82" spans="1:9" x14ac:dyDescent="0.3">
      <c r="A82" s="8">
        <v>81</v>
      </c>
      <c r="B82" s="3" t="s">
        <v>11</v>
      </c>
      <c r="C82" s="3" t="s">
        <v>14</v>
      </c>
      <c r="D82" s="3">
        <v>3737</v>
      </c>
      <c r="E82" s="3">
        <v>10</v>
      </c>
      <c r="F82" s="3">
        <v>37370</v>
      </c>
      <c r="G82" s="3">
        <v>2525</v>
      </c>
      <c r="H82" s="3">
        <v>25250</v>
      </c>
      <c r="I82" s="3">
        <v>12120</v>
      </c>
    </row>
    <row r="83" spans="1:9" x14ac:dyDescent="0.3">
      <c r="A83" s="8">
        <v>82</v>
      </c>
      <c r="B83" s="3" t="s">
        <v>9</v>
      </c>
      <c r="C83" s="3" t="s">
        <v>15</v>
      </c>
      <c r="D83" s="3">
        <v>26172</v>
      </c>
      <c r="E83" s="3">
        <v>6</v>
      </c>
      <c r="F83" s="3">
        <v>157032</v>
      </c>
      <c r="G83" s="3">
        <v>14071</v>
      </c>
      <c r="H83" s="3">
        <v>84426</v>
      </c>
      <c r="I83" s="3">
        <v>72606</v>
      </c>
    </row>
    <row r="84" spans="1:9" x14ac:dyDescent="0.3">
      <c r="A84" s="8">
        <v>83</v>
      </c>
      <c r="B84" s="3" t="s">
        <v>18</v>
      </c>
      <c r="C84" s="3" t="s">
        <v>10</v>
      </c>
      <c r="D84" s="3">
        <v>2576</v>
      </c>
      <c r="E84" s="3">
        <v>10</v>
      </c>
      <c r="F84" s="3">
        <v>25760</v>
      </c>
      <c r="G84" s="3">
        <v>1898</v>
      </c>
      <c r="H84" s="3">
        <v>18980</v>
      </c>
      <c r="I84" s="3">
        <v>6780</v>
      </c>
    </row>
    <row r="85" spans="1:9" x14ac:dyDescent="0.3">
      <c r="A85" s="8">
        <v>84</v>
      </c>
      <c r="B85" s="3" t="s">
        <v>11</v>
      </c>
      <c r="C85" s="3" t="s">
        <v>12</v>
      </c>
      <c r="D85" s="3">
        <v>32928</v>
      </c>
      <c r="E85" s="3">
        <v>16</v>
      </c>
      <c r="F85" s="3">
        <v>526848</v>
      </c>
      <c r="G85" s="3">
        <v>26154</v>
      </c>
      <c r="H85" s="3">
        <v>418464</v>
      </c>
      <c r="I85" s="3">
        <v>108384</v>
      </c>
    </row>
    <row r="86" spans="1:9" x14ac:dyDescent="0.3">
      <c r="A86" s="8">
        <v>85</v>
      </c>
      <c r="B86" s="3" t="s">
        <v>17</v>
      </c>
      <c r="C86" s="3" t="s">
        <v>14</v>
      </c>
      <c r="D86" s="3">
        <v>47365</v>
      </c>
      <c r="E86" s="3">
        <v>33</v>
      </c>
      <c r="F86" s="3">
        <v>1563045</v>
      </c>
      <c r="G86" s="3">
        <v>31432</v>
      </c>
      <c r="H86" s="3">
        <v>1037256</v>
      </c>
      <c r="I86" s="3">
        <v>525789</v>
      </c>
    </row>
    <row r="87" spans="1:9" x14ac:dyDescent="0.3">
      <c r="A87" s="8">
        <v>86</v>
      </c>
      <c r="B87" s="3" t="s">
        <v>9</v>
      </c>
      <c r="C87" s="3" t="s">
        <v>12</v>
      </c>
      <c r="D87" s="3">
        <v>17997</v>
      </c>
      <c r="E87" s="3">
        <v>23</v>
      </c>
      <c r="F87" s="3">
        <v>413931</v>
      </c>
      <c r="G87" s="3">
        <v>13271</v>
      </c>
      <c r="H87" s="3">
        <v>305233</v>
      </c>
      <c r="I87" s="3">
        <v>108698</v>
      </c>
    </row>
    <row r="88" spans="1:9" x14ac:dyDescent="0.3">
      <c r="A88" s="8">
        <v>87</v>
      </c>
      <c r="B88" s="3" t="s">
        <v>11</v>
      </c>
      <c r="C88" s="3" t="s">
        <v>10</v>
      </c>
      <c r="D88" s="3">
        <v>33901</v>
      </c>
      <c r="E88" s="3">
        <v>4</v>
      </c>
      <c r="F88" s="3">
        <v>135604</v>
      </c>
      <c r="G88" s="3">
        <v>20929</v>
      </c>
      <c r="H88" s="3">
        <v>83716</v>
      </c>
      <c r="I88" s="3">
        <v>51888</v>
      </c>
    </row>
    <row r="89" spans="1:9" x14ac:dyDescent="0.3">
      <c r="A89" s="8">
        <v>88</v>
      </c>
      <c r="B89" s="3" t="s">
        <v>9</v>
      </c>
      <c r="C89" s="3" t="s">
        <v>15</v>
      </c>
      <c r="D89" s="3">
        <v>41989</v>
      </c>
      <c r="E89" s="3">
        <v>26</v>
      </c>
      <c r="F89" s="3">
        <v>1091714</v>
      </c>
      <c r="G89" s="3">
        <v>24661</v>
      </c>
      <c r="H89" s="3">
        <v>641186</v>
      </c>
      <c r="I89" s="3">
        <v>450528</v>
      </c>
    </row>
    <row r="90" spans="1:9" x14ac:dyDescent="0.3">
      <c r="A90" s="8">
        <v>89</v>
      </c>
      <c r="B90" s="3" t="s">
        <v>17</v>
      </c>
      <c r="C90" s="3" t="s">
        <v>14</v>
      </c>
      <c r="D90" s="3">
        <v>4420</v>
      </c>
      <c r="E90" s="3">
        <v>44</v>
      </c>
      <c r="F90" s="3">
        <v>194480</v>
      </c>
      <c r="G90" s="3">
        <v>3434</v>
      </c>
      <c r="H90" s="3">
        <v>151096</v>
      </c>
      <c r="I90" s="3">
        <v>43384</v>
      </c>
    </row>
    <row r="91" spans="1:9" x14ac:dyDescent="0.3">
      <c r="A91" s="8">
        <v>90</v>
      </c>
      <c r="B91" s="3" t="s">
        <v>17</v>
      </c>
      <c r="C91" s="3" t="s">
        <v>12</v>
      </c>
      <c r="D91" s="3">
        <v>38102</v>
      </c>
      <c r="E91" s="3">
        <v>3</v>
      </c>
      <c r="F91" s="3">
        <v>114306</v>
      </c>
      <c r="G91" s="3">
        <v>27962</v>
      </c>
      <c r="H91" s="3">
        <v>83886</v>
      </c>
      <c r="I91" s="3">
        <v>30420</v>
      </c>
    </row>
    <row r="92" spans="1:9" x14ac:dyDescent="0.3">
      <c r="A92" s="8">
        <v>91</v>
      </c>
      <c r="B92" s="3" t="s">
        <v>16</v>
      </c>
      <c r="C92" s="3" t="s">
        <v>12</v>
      </c>
      <c r="D92" s="3">
        <v>36004</v>
      </c>
      <c r="E92" s="3">
        <v>37</v>
      </c>
      <c r="F92" s="3">
        <v>1332148</v>
      </c>
      <c r="G92" s="3">
        <v>26960</v>
      </c>
      <c r="H92" s="3">
        <v>997520</v>
      </c>
      <c r="I92" s="3">
        <v>334628</v>
      </c>
    </row>
    <row r="93" spans="1:9" x14ac:dyDescent="0.3">
      <c r="A93" s="8">
        <v>92</v>
      </c>
      <c r="B93" s="3" t="s">
        <v>16</v>
      </c>
      <c r="C93" s="3" t="s">
        <v>15</v>
      </c>
      <c r="D93" s="3">
        <v>30050</v>
      </c>
      <c r="E93" s="3">
        <v>23</v>
      </c>
      <c r="F93" s="3">
        <v>691150</v>
      </c>
      <c r="G93" s="3">
        <v>21800</v>
      </c>
      <c r="H93" s="3">
        <v>501400</v>
      </c>
      <c r="I93" s="3">
        <v>189750</v>
      </c>
    </row>
    <row r="94" spans="1:9" x14ac:dyDescent="0.3">
      <c r="A94" s="8">
        <v>93</v>
      </c>
      <c r="B94" s="3" t="s">
        <v>16</v>
      </c>
      <c r="C94" s="3" t="s">
        <v>12</v>
      </c>
      <c r="D94" s="3">
        <v>19517</v>
      </c>
      <c r="E94" s="3">
        <v>45</v>
      </c>
      <c r="F94" s="3">
        <v>878265</v>
      </c>
      <c r="G94" s="3">
        <v>14112</v>
      </c>
      <c r="H94" s="3">
        <v>635040</v>
      </c>
      <c r="I94" s="3">
        <v>243225</v>
      </c>
    </row>
    <row r="95" spans="1:9" x14ac:dyDescent="0.3">
      <c r="A95" s="8">
        <v>94</v>
      </c>
      <c r="B95" s="3" t="s">
        <v>13</v>
      </c>
      <c r="C95" s="3" t="s">
        <v>10</v>
      </c>
      <c r="D95" s="3">
        <v>13275</v>
      </c>
      <c r="E95" s="3">
        <v>16</v>
      </c>
      <c r="F95" s="3">
        <v>212400</v>
      </c>
      <c r="G95" s="3">
        <v>7082</v>
      </c>
      <c r="H95" s="3">
        <v>113312</v>
      </c>
      <c r="I95" s="3">
        <v>99088</v>
      </c>
    </row>
    <row r="96" spans="1:9" x14ac:dyDescent="0.3">
      <c r="A96" s="8">
        <v>95</v>
      </c>
      <c r="B96" s="3" t="s">
        <v>16</v>
      </c>
      <c r="C96" s="3" t="s">
        <v>15</v>
      </c>
      <c r="D96" s="3">
        <v>9753</v>
      </c>
      <c r="E96" s="3">
        <v>30</v>
      </c>
      <c r="F96" s="3">
        <v>292590</v>
      </c>
      <c r="G96" s="3">
        <v>6785</v>
      </c>
      <c r="H96" s="3">
        <v>203550</v>
      </c>
      <c r="I96" s="3">
        <v>89040</v>
      </c>
    </row>
    <row r="97" spans="1:9" x14ac:dyDescent="0.3">
      <c r="A97" s="8">
        <v>96</v>
      </c>
      <c r="B97" s="3" t="s">
        <v>16</v>
      </c>
      <c r="C97" s="3" t="s">
        <v>14</v>
      </c>
      <c r="D97" s="3">
        <v>926</v>
      </c>
      <c r="E97" s="3">
        <v>30</v>
      </c>
      <c r="F97" s="3">
        <v>27780</v>
      </c>
      <c r="G97" s="3">
        <v>562</v>
      </c>
      <c r="H97" s="3">
        <v>16860</v>
      </c>
      <c r="I97" s="3">
        <v>10920</v>
      </c>
    </row>
    <row r="98" spans="1:9" x14ac:dyDescent="0.3">
      <c r="A98" s="8">
        <v>97</v>
      </c>
      <c r="B98" s="3" t="s">
        <v>17</v>
      </c>
      <c r="C98" s="3" t="s">
        <v>10</v>
      </c>
      <c r="D98" s="3">
        <v>14031</v>
      </c>
      <c r="E98" s="3">
        <v>37</v>
      </c>
      <c r="F98" s="3">
        <v>519147</v>
      </c>
      <c r="G98" s="3">
        <v>8810</v>
      </c>
      <c r="H98" s="3">
        <v>325970</v>
      </c>
      <c r="I98" s="3">
        <v>193177</v>
      </c>
    </row>
    <row r="99" spans="1:9" x14ac:dyDescent="0.3">
      <c r="A99" s="8">
        <v>98</v>
      </c>
      <c r="B99" s="3" t="s">
        <v>11</v>
      </c>
      <c r="C99" s="3" t="s">
        <v>10</v>
      </c>
      <c r="D99" s="3">
        <v>19944</v>
      </c>
      <c r="E99" s="3">
        <v>11</v>
      </c>
      <c r="F99" s="3">
        <v>219384</v>
      </c>
      <c r="G99" s="3">
        <v>12640</v>
      </c>
      <c r="H99" s="3">
        <v>139040</v>
      </c>
      <c r="I99" s="3">
        <v>80344</v>
      </c>
    </row>
    <row r="100" spans="1:9" x14ac:dyDescent="0.3">
      <c r="A100" s="8">
        <v>99</v>
      </c>
      <c r="B100" s="3" t="s">
        <v>16</v>
      </c>
      <c r="C100" s="3" t="s">
        <v>12</v>
      </c>
      <c r="D100" s="3">
        <v>2817</v>
      </c>
      <c r="E100" s="3">
        <v>45</v>
      </c>
      <c r="F100" s="3">
        <v>126765</v>
      </c>
      <c r="G100" s="3">
        <v>1859</v>
      </c>
      <c r="H100" s="3">
        <v>83655</v>
      </c>
      <c r="I100" s="3">
        <v>43110</v>
      </c>
    </row>
    <row r="101" spans="1:9" x14ac:dyDescent="0.3">
      <c r="A101" s="8">
        <v>100</v>
      </c>
      <c r="B101" s="3" t="s">
        <v>13</v>
      </c>
      <c r="C101" s="3" t="s">
        <v>15</v>
      </c>
      <c r="D101" s="3">
        <v>40659</v>
      </c>
      <c r="E101" s="3">
        <v>40</v>
      </c>
      <c r="F101" s="3">
        <v>1626360</v>
      </c>
      <c r="G101" s="3">
        <v>24127</v>
      </c>
      <c r="H101" s="3">
        <v>965080</v>
      </c>
      <c r="I101" s="3">
        <v>661280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FA52-96E0-422E-921B-D9062F2AC1DA}">
  <dimension ref="B3:R45"/>
  <sheetViews>
    <sheetView tabSelected="1" workbookViewId="0">
      <selection activeCell="N5" sqref="N5"/>
    </sheetView>
  </sheetViews>
  <sheetFormatPr defaultRowHeight="14.4" x14ac:dyDescent="0.3"/>
  <sheetData>
    <row r="3" spans="2:18" x14ac:dyDescent="0.3">
      <c r="B3" s="5" t="s">
        <v>31</v>
      </c>
      <c r="C3" s="5"/>
      <c r="D3" s="5"/>
      <c r="E3" s="5"/>
      <c r="F3" s="5"/>
      <c r="I3" s="5" t="s">
        <v>30</v>
      </c>
      <c r="J3" s="5"/>
      <c r="K3" s="5"/>
      <c r="L3" s="5"/>
      <c r="O3" s="5" t="s">
        <v>29</v>
      </c>
      <c r="P3" s="5"/>
      <c r="Q3" s="5"/>
      <c r="R3" s="5"/>
    </row>
    <row r="4" spans="2:18" x14ac:dyDescent="0.3">
      <c r="B4" s="5" t="s">
        <v>25</v>
      </c>
      <c r="C4" s="5"/>
      <c r="D4" s="5"/>
      <c r="E4" s="5"/>
      <c r="F4" s="5"/>
      <c r="I4" s="5" t="s">
        <v>26</v>
      </c>
      <c r="J4" s="5"/>
      <c r="K4" s="5"/>
      <c r="L4" s="5"/>
      <c r="O4" s="5" t="s">
        <v>28</v>
      </c>
      <c r="P4" s="5"/>
      <c r="Q4" s="5"/>
      <c r="R4" s="5"/>
    </row>
    <row r="5" spans="2:18" x14ac:dyDescent="0.3">
      <c r="I5" s="6" t="s">
        <v>27</v>
      </c>
      <c r="J5" s="6"/>
      <c r="K5" s="6"/>
      <c r="L5" s="6"/>
      <c r="P5" s="3" t="s">
        <v>23</v>
      </c>
      <c r="Q5" s="3" t="s">
        <v>8</v>
      </c>
    </row>
    <row r="6" spans="2:18" x14ac:dyDescent="0.3">
      <c r="C6" s="1" t="s">
        <v>19</v>
      </c>
      <c r="D6" s="1" t="s">
        <v>20</v>
      </c>
      <c r="I6" s="5" t="s">
        <v>32</v>
      </c>
      <c r="J6" s="5"/>
      <c r="K6" s="5"/>
      <c r="L6" s="5"/>
      <c r="P6" s="3">
        <v>5</v>
      </c>
      <c r="Q6" s="3">
        <f>D12</f>
        <v>300000</v>
      </c>
    </row>
    <row r="7" spans="2:18" ht="28.8" x14ac:dyDescent="0.3">
      <c r="C7" s="2" t="s">
        <v>21</v>
      </c>
      <c r="D7" s="2">
        <v>20000</v>
      </c>
      <c r="I7" s="6"/>
      <c r="J7" s="6"/>
      <c r="K7" s="6"/>
      <c r="L7" s="6"/>
      <c r="P7" s="3">
        <v>10</v>
      </c>
      <c r="Q7" s="3">
        <f t="dataTable" ref="Q7:Q15" dt2D="0" dtr="0" r1="D9"/>
        <v>60000</v>
      </c>
    </row>
    <row r="8" spans="2:18" ht="28.8" x14ac:dyDescent="0.3">
      <c r="C8" s="2" t="s">
        <v>22</v>
      </c>
      <c r="D8" s="2">
        <v>14000</v>
      </c>
      <c r="I8" s="6"/>
      <c r="J8" s="6"/>
      <c r="K8" s="6"/>
      <c r="L8" s="6"/>
      <c r="P8" s="3">
        <v>15</v>
      </c>
      <c r="Q8" s="3">
        <v>90000</v>
      </c>
    </row>
    <row r="9" spans="2:18" x14ac:dyDescent="0.3">
      <c r="C9" s="2" t="s">
        <v>23</v>
      </c>
      <c r="D9" s="2">
        <v>50</v>
      </c>
      <c r="I9" s="6"/>
      <c r="J9" s="6"/>
      <c r="K9" s="6"/>
      <c r="L9" s="6"/>
      <c r="P9" s="3">
        <v>20</v>
      </c>
      <c r="Q9" s="3">
        <v>120000</v>
      </c>
    </row>
    <row r="10" spans="2:18" x14ac:dyDescent="0.3">
      <c r="C10" s="2" t="s">
        <v>5</v>
      </c>
      <c r="D10" s="3">
        <f>D7*D9</f>
        <v>1000000</v>
      </c>
      <c r="I10" s="6"/>
      <c r="J10" s="6"/>
      <c r="K10" s="6"/>
      <c r="L10" s="6"/>
      <c r="P10" s="3">
        <v>25</v>
      </c>
      <c r="Q10" s="3">
        <v>150000</v>
      </c>
    </row>
    <row r="11" spans="2:18" ht="28.8" x14ac:dyDescent="0.3">
      <c r="C11" s="2" t="s">
        <v>24</v>
      </c>
      <c r="D11" s="2">
        <f>D8*D9</f>
        <v>700000</v>
      </c>
      <c r="I11" s="6"/>
      <c r="J11" s="6"/>
      <c r="K11" s="6"/>
      <c r="L11" s="6"/>
      <c r="P11" s="3">
        <v>30</v>
      </c>
      <c r="Q11" s="3">
        <v>180000</v>
      </c>
    </row>
    <row r="12" spans="2:18" x14ac:dyDescent="0.3">
      <c r="C12" s="2" t="s">
        <v>8</v>
      </c>
      <c r="D12" s="2">
        <f>D10-D11</f>
        <v>300000</v>
      </c>
      <c r="I12" s="6"/>
      <c r="J12" s="6"/>
      <c r="K12" s="6"/>
      <c r="L12" s="6"/>
      <c r="P12" s="3">
        <v>35</v>
      </c>
      <c r="Q12" s="3">
        <v>210000</v>
      </c>
    </row>
    <row r="13" spans="2:18" x14ac:dyDescent="0.3">
      <c r="I13" s="6"/>
      <c r="J13" s="6"/>
      <c r="K13" s="6"/>
      <c r="L13" s="6"/>
      <c r="P13" s="3">
        <v>40</v>
      </c>
      <c r="Q13" s="3">
        <v>240000</v>
      </c>
    </row>
    <row r="14" spans="2:18" x14ac:dyDescent="0.3">
      <c r="I14" s="6"/>
      <c r="J14" s="6"/>
      <c r="K14" s="6"/>
      <c r="L14" s="6"/>
      <c r="P14" s="3">
        <v>45</v>
      </c>
      <c r="Q14" s="3">
        <v>270000</v>
      </c>
    </row>
    <row r="15" spans="2:18" x14ac:dyDescent="0.3">
      <c r="I15" s="6"/>
      <c r="J15" s="6"/>
      <c r="K15" s="6"/>
      <c r="L15" s="6"/>
      <c r="P15" s="3">
        <v>50</v>
      </c>
      <c r="Q15" s="3">
        <v>300000</v>
      </c>
    </row>
    <row r="16" spans="2:18" x14ac:dyDescent="0.3">
      <c r="I16" s="6"/>
      <c r="J16" s="6"/>
      <c r="K16" s="6"/>
      <c r="L16" s="6"/>
    </row>
    <row r="17" spans="9:13" x14ac:dyDescent="0.3">
      <c r="I17" s="6"/>
      <c r="J17" s="6"/>
      <c r="K17" s="6"/>
      <c r="L17" s="6"/>
    </row>
    <row r="19" spans="9:13" x14ac:dyDescent="0.3">
      <c r="I19" s="5" t="s">
        <v>33</v>
      </c>
      <c r="J19" s="5"/>
      <c r="K19" s="5"/>
      <c r="L19" s="5"/>
      <c r="M19" s="5"/>
    </row>
    <row r="20" spans="9:13" x14ac:dyDescent="0.3">
      <c r="I20" s="6"/>
      <c r="J20" s="6"/>
      <c r="K20" s="6"/>
      <c r="L20" s="6"/>
    </row>
    <row r="21" spans="9:13" x14ac:dyDescent="0.3">
      <c r="I21" s="6"/>
      <c r="J21" s="6"/>
      <c r="K21" s="6"/>
      <c r="L21" s="6"/>
    </row>
    <row r="22" spans="9:13" x14ac:dyDescent="0.3">
      <c r="I22" s="6"/>
      <c r="J22" s="6"/>
      <c r="K22" s="6"/>
      <c r="L22" s="6"/>
    </row>
    <row r="23" spans="9:13" x14ac:dyDescent="0.3">
      <c r="I23" s="6"/>
      <c r="J23" s="6"/>
      <c r="K23" s="6"/>
      <c r="L23" s="6"/>
    </row>
    <row r="24" spans="9:13" x14ac:dyDescent="0.3">
      <c r="I24" s="6"/>
      <c r="J24" s="6"/>
      <c r="K24" s="6"/>
      <c r="L24" s="6"/>
    </row>
    <row r="25" spans="9:13" x14ac:dyDescent="0.3">
      <c r="I25" s="6"/>
      <c r="J25" s="6"/>
      <c r="K25" s="6"/>
      <c r="L25" s="6"/>
    </row>
    <row r="26" spans="9:13" x14ac:dyDescent="0.3">
      <c r="I26" s="6"/>
      <c r="J26" s="6"/>
      <c r="K26" s="6"/>
      <c r="L26" s="6"/>
    </row>
    <row r="27" spans="9:13" x14ac:dyDescent="0.3">
      <c r="I27" s="6"/>
      <c r="J27" s="6"/>
      <c r="K27" s="6"/>
      <c r="L27" s="6"/>
    </row>
    <row r="28" spans="9:13" x14ac:dyDescent="0.3">
      <c r="I28" s="6"/>
      <c r="J28" s="6"/>
      <c r="K28" s="6"/>
      <c r="L28" s="6"/>
    </row>
    <row r="29" spans="9:13" x14ac:dyDescent="0.3">
      <c r="I29" s="6"/>
      <c r="J29" s="6"/>
      <c r="K29" s="6"/>
      <c r="L29" s="6"/>
    </row>
    <row r="30" spans="9:13" x14ac:dyDescent="0.3">
      <c r="I30" s="6"/>
      <c r="J30" s="6"/>
      <c r="K30" s="6"/>
      <c r="L30" s="6"/>
    </row>
    <row r="31" spans="9:13" x14ac:dyDescent="0.3">
      <c r="I31" s="6"/>
      <c r="J31" s="6"/>
      <c r="K31" s="6"/>
      <c r="L31" s="6"/>
    </row>
    <row r="34" spans="9:12" x14ac:dyDescent="0.3">
      <c r="I34" s="5" t="s">
        <v>34</v>
      </c>
      <c r="J34" s="5"/>
      <c r="K34" s="5"/>
      <c r="L34" s="5"/>
    </row>
    <row r="35" spans="9:12" x14ac:dyDescent="0.3">
      <c r="I35" s="6"/>
      <c r="J35" s="6"/>
      <c r="K35" s="6"/>
      <c r="L35" s="6"/>
    </row>
    <row r="36" spans="9:12" x14ac:dyDescent="0.3">
      <c r="I36" s="6"/>
      <c r="J36" s="6"/>
      <c r="K36" s="6"/>
      <c r="L36" s="6"/>
    </row>
    <row r="37" spans="9:12" x14ac:dyDescent="0.3">
      <c r="I37" s="6"/>
      <c r="J37" s="6"/>
      <c r="K37" s="6"/>
      <c r="L37" s="6"/>
    </row>
    <row r="38" spans="9:12" x14ac:dyDescent="0.3">
      <c r="I38" s="6"/>
      <c r="J38" s="6"/>
      <c r="K38" s="6"/>
      <c r="L38" s="6"/>
    </row>
    <row r="39" spans="9:12" x14ac:dyDescent="0.3">
      <c r="I39" s="6"/>
      <c r="J39" s="6"/>
      <c r="K39" s="6"/>
      <c r="L39" s="6"/>
    </row>
    <row r="40" spans="9:12" x14ac:dyDescent="0.3">
      <c r="I40" s="6"/>
      <c r="J40" s="6"/>
      <c r="K40" s="6"/>
      <c r="L40" s="6"/>
    </row>
    <row r="41" spans="9:12" x14ac:dyDescent="0.3">
      <c r="I41" s="6"/>
      <c r="J41" s="6"/>
      <c r="K41" s="6"/>
      <c r="L41" s="6"/>
    </row>
    <row r="42" spans="9:12" x14ac:dyDescent="0.3">
      <c r="I42" s="6"/>
      <c r="J42" s="6"/>
      <c r="K42" s="6"/>
      <c r="L42" s="6"/>
    </row>
    <row r="43" spans="9:12" x14ac:dyDescent="0.3">
      <c r="I43" s="6"/>
      <c r="J43" s="6"/>
      <c r="K43" s="6"/>
      <c r="L43" s="6"/>
    </row>
    <row r="44" spans="9:12" x14ac:dyDescent="0.3">
      <c r="I44" s="6"/>
      <c r="J44" s="6"/>
      <c r="K44" s="6"/>
      <c r="L44" s="6"/>
    </row>
    <row r="45" spans="9:12" x14ac:dyDescent="0.3">
      <c r="I45" s="6"/>
      <c r="J45" s="6"/>
      <c r="K45" s="6"/>
      <c r="L45" s="6"/>
    </row>
  </sheetData>
  <mergeCells count="13">
    <mergeCell ref="I5:L5"/>
    <mergeCell ref="I6:L6"/>
    <mergeCell ref="I19:M19"/>
    <mergeCell ref="O3:R3"/>
    <mergeCell ref="O4:R4"/>
    <mergeCell ref="I7:L17"/>
    <mergeCell ref="I20:L31"/>
    <mergeCell ref="I34:L34"/>
    <mergeCell ref="I35:L45"/>
    <mergeCell ref="B3:F3"/>
    <mergeCell ref="B4:F4"/>
    <mergeCell ref="I3:L3"/>
    <mergeCell ref="I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What_if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chandana A</cp:lastModifiedBy>
  <dcterms:created xsi:type="dcterms:W3CDTF">2026-02-25T06:04:28Z</dcterms:created>
  <dcterms:modified xsi:type="dcterms:W3CDTF">2026-02-25T06:49:40Z</dcterms:modified>
</cp:coreProperties>
</file>