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tructured_table" sheetId="1" r:id="rId1"/>
    <sheet name="Pivo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<sst xmlns="http://schemas.openxmlformats.org/spreadsheetml/2006/main" count="41" uniqueCount="24">
  <si>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Date</t>
  </si>
  <si>
    <t>Product</t>
  </si>
  <si>
    <t>Region</t>
  </si>
  <si>
    <t>Sales</t>
  </si>
  <si>
    <t>Quantity</t>
  </si>
  <si>
    <t>Revenue</t>
  </si>
  <si>
    <t>Bonus</t>
  </si>
  <si>
    <t>Laptop</t>
  </si>
  <si>
    <t>South</t>
  </si>
  <si>
    <t>Mouse</t>
  </si>
  <si>
    <t>North</t>
  </si>
  <si>
    <t>Keyboard</t>
  </si>
  <si>
    <t>East</t>
  </si>
  <si>
    <t>Monitor</t>
  </si>
  <si>
    <t>West</t>
  </si>
  <si>
    <t xml:space="preserve">East </t>
  </si>
  <si>
    <t xml:space="preserve"> Monitor </t>
  </si>
  <si>
    <t xml:space="preserve"> South </t>
  </si>
  <si>
    <t>Total</t>
  </si>
  <si>
    <t>(ALL)</t>
  </si>
  <si>
    <t>Sum of Sales</t>
  </si>
  <si>
    <t>Sum of Revenue</t>
  </si>
  <si>
    <t>Sum of Bonus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</si>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</sst>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8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0" formatCode="dd/mmm/yy"/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4.5947453704" refreshedBy="chand" recordCount="10">
  <cacheSource type="worksheet">
    <worksheetSource name="Sales_Data"/>
  </cacheSource>
  <cacheFields count="7">
    <cacheField name="Date" numFmtId="180">
      <sharedItems containsSemiMixedTypes="0" containsString="0" containsNonDate="0" containsDate="1" minDate="2025-01-01T00:00:00" maxDate="2025-01-10T00:00:00" count="1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</sharedItems>
    </cacheField>
    <cacheField name="Product" numFmtId="0">
      <sharedItems count="5">
        <s v="Laptop"/>
        <s v="Mouse"/>
        <s v="Keyboard"/>
        <s v="Monitor"/>
        <s v=" Monitor "/>
      </sharedItems>
    </cacheField>
    <cacheField name="Region" numFmtId="0">
      <sharedItems count="6">
        <s v="South"/>
        <s v="North"/>
        <s v="East"/>
        <s v="West"/>
        <s v="East "/>
        <s v=" South "/>
      </sharedItems>
    </cacheField>
    <cacheField name="Sales" numFmtId="0">
      <sharedItems containsSemiMixedTypes="0" containsString="0" containsNumber="1" containsInteger="1" minValue="500" maxValue="53000" count="10">
        <n v="50000"/>
        <n v="500"/>
        <n v="1500"/>
        <n v="12000"/>
        <n v="52000"/>
        <n v="600"/>
        <n v="1700"/>
        <n v="11000"/>
        <n v="53000"/>
        <n v="13000"/>
      </sharedItems>
    </cacheField>
    <cacheField name="Quantity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Revenue" numFmtId="0">
      <sharedItems containsSemiMixedTypes="0" containsString="0" containsNumber="1" containsInteger="1" minValue="2400" maxValue="100000" count="10">
        <n v="100000"/>
        <n v="2500"/>
        <n v="4500"/>
        <n v="12000"/>
        <n v="52000"/>
        <n v="2400"/>
        <n v="3400"/>
        <n v="11000"/>
        <n v="53000"/>
        <n v="13000"/>
      </sharedItems>
    </cacheField>
    <cacheField name="Bonus" numFmtId="0">
      <sharedItems containsSemiMixedTypes="0" containsString="0" containsNumber="1" containsInteger="1" minValue="120" maxValue="5000" count="10">
        <n v="5000"/>
        <n v="125"/>
        <n v="225"/>
        <n v="600"/>
        <n v="2600"/>
        <n v="120"/>
        <n v="170"/>
        <n v="550"/>
        <n v="2650"/>
        <n v="6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0"/>
    <x v="1"/>
    <x v="4"/>
    <x v="3"/>
    <x v="4"/>
    <x v="4"/>
  </r>
  <r>
    <x v="5"/>
    <x v="1"/>
    <x v="0"/>
    <x v="5"/>
    <x v="4"/>
    <x v="5"/>
    <x v="5"/>
  </r>
  <r>
    <x v="6"/>
    <x v="2"/>
    <x v="3"/>
    <x v="6"/>
    <x v="0"/>
    <x v="6"/>
    <x v="6"/>
  </r>
  <r>
    <x v="7"/>
    <x v="3"/>
    <x v="2"/>
    <x v="7"/>
    <x v="3"/>
    <x v="7"/>
    <x v="7"/>
  </r>
  <r>
    <x v="8"/>
    <x v="0"/>
    <x v="4"/>
    <x v="8"/>
    <x v="3"/>
    <x v="8"/>
    <x v="8"/>
  </r>
  <r>
    <x v="9"/>
    <x v="4"/>
    <x v="5"/>
    <x v="9"/>
    <x v="3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" firstHeaderRow="0" firstDataRow="1" firstDataCol="1" rowPageCount="1" colPageCount="1"/>
  <pivotFields count="7">
    <pivotField compact="0" numFmtId="18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multipleItemSelectionAllowed="1" showAll="0">
      <items count="6">
        <item x="4"/>
        <item x="2"/>
        <item x="0"/>
        <item x="3"/>
        <item x="1"/>
        <item t="default"/>
      </items>
    </pivotField>
    <pivotField axis="axisRow" compact="0" showAll="0">
      <items count="7">
        <item x="2"/>
        <item x="4"/>
        <item x="1"/>
        <item x="0"/>
        <item x="3"/>
        <item x="5"/>
        <item t="default"/>
      </items>
    </pivotField>
    <pivotField dataField="1" compact="0" showAll="0">
      <items count="11">
        <item x="1"/>
        <item x="5"/>
        <item x="2"/>
        <item x="6"/>
        <item x="7"/>
        <item x="3"/>
        <item x="9"/>
        <item x="0"/>
        <item x="4"/>
        <item x="8"/>
        <item t="default"/>
      </items>
    </pivotField>
    <pivotField compact="0" showAll="0"/>
    <pivotField dataField="1" compact="0" showAll="0">
      <items count="11">
        <item x="5"/>
        <item x="1"/>
        <item x="6"/>
        <item x="2"/>
        <item x="7"/>
        <item x="3"/>
        <item x="9"/>
        <item x="4"/>
        <item x="8"/>
        <item x="0"/>
        <item t="default"/>
      </items>
    </pivotField>
    <pivotField dataField="1" compact="0" showAll="0">
      <items count="11">
        <item x="5"/>
        <item x="1"/>
        <item x="6"/>
        <item x="2"/>
        <item x="7"/>
        <item x="3"/>
        <item x="9"/>
        <item x="4"/>
        <item x="8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/>
  </pageFields>
  <dataFields count="3">
    <dataField name="Sum of Sales" fld="3" baseField="0" baseItem="0"/>
    <dataField name="Sum of Revenue" fld="5" baseField="0" baseItem="0"/>
    <dataField name="Sum of Bonus" fld="6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_Data" displayName="Sales_Data" ref="A1:G12" totalsRowCount="1">
  <autoFilter xmlns:etc="http://www.wps.cn/officeDocument/2017/etCustomData" ref="A1:G11" etc:filterBottomFollowUsedRange="0"/>
  <tableColumns count="7">
    <tableColumn id="1" name="Date" dataDxfId="2" totalsRowLabel="Total"/>
    <tableColumn id="2" name="Product" dataDxfId="3"/>
    <tableColumn id="3" name="Region" dataDxfId="4"/>
    <tableColumn id="4" name="Sales" dataDxfId="5"/>
    <tableColumn id="5" name="Quantity" dataDxfId="6"/>
    <tableColumn id="6" name="Revenue" dataDxfId="7" totalsRowFunction="sum">
      <calculatedColumnFormula>Sales_Data[[#This Row],[Sales]]*Sales_Data[[#This Row],[Quantity]]</calculatedColumnFormula>
    </tableColumn>
    <tableColumn id="7" name="Bonus" dataDxfId="8" totalsRowFunction="sum">
      <calculatedColumnFormula>Sales_Data[[#This Row],[Revenue]]*5%</calculatedColumnFormula>
    </tableColumn>
  </tableColumns>
  <tableStyleInfo name="TableStylePreset3_Accent1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2" sqref="G2"/>
    </sheetView>
  </sheetViews>
  <sheetFormatPr defaultColWidth="8.88888888888889" defaultRowHeight="14.4" outlineLevelCol="6"/>
  <cols>
    <col min="1" max="1" width="13" customWidth="1"/>
    <col min="2" max="2" width="9.22222222222222" customWidth="1"/>
    <col min="3" max="3" width="7.22222222222222" customWidth="1"/>
    <col min="4" max="4" width="6.66666666666667" customWidth="1"/>
    <col min="5" max="5" width="8.11111111111111" customWidth="1"/>
    <col min="6" max="6" width="9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 s="4">
        <v>45658</v>
      </c>
      <c r="B2" s="5" t="s">
        <v>7</v>
      </c>
      <c r="C2" s="5" t="s">
        <v>8</v>
      </c>
      <c r="D2" s="5">
        <v>50000</v>
      </c>
      <c r="E2" s="5">
        <v>2</v>
      </c>
      <c r="F2" s="6">
        <f>Sales_Data[[#This Row],[Sales]]*Sales_Data[[#This Row],[Quantity]]</f>
        <v>100000</v>
      </c>
      <c r="G2" s="6">
        <f>Sales_Data[[#This Row],[Revenue]]*5%</f>
        <v>5000</v>
      </c>
    </row>
    <row r="3" spans="1:7">
      <c r="A3" s="4">
        <v>45659</v>
      </c>
      <c r="B3" s="5" t="s">
        <v>9</v>
      </c>
      <c r="C3" s="5" t="s">
        <v>10</v>
      </c>
      <c r="D3" s="5">
        <v>500</v>
      </c>
      <c r="E3" s="5">
        <v>5</v>
      </c>
      <c r="F3" s="6">
        <f>Sales_Data[[#This Row],[Sales]]*Sales_Data[[#This Row],[Quantity]]</f>
        <v>2500</v>
      </c>
      <c r="G3" s="6">
        <f>Sales_Data[[#This Row],[Revenue]]*5%</f>
        <v>125</v>
      </c>
    </row>
    <row r="4" spans="1:7">
      <c r="A4" s="4">
        <v>45660</v>
      </c>
      <c r="B4" s="5" t="s">
        <v>11</v>
      </c>
      <c r="C4" s="5" t="s">
        <v>12</v>
      </c>
      <c r="D4" s="5">
        <v>1500</v>
      </c>
      <c r="E4" s="5">
        <v>3</v>
      </c>
      <c r="F4" s="6">
        <f>Sales_Data[[#This Row],[Sales]]*Sales_Data[[#This Row],[Quantity]]</f>
        <v>4500</v>
      </c>
      <c r="G4" s="6">
        <f>Sales_Data[[#This Row],[Revenue]]*5%</f>
        <v>225</v>
      </c>
    </row>
    <row r="5" spans="1:7">
      <c r="A5" s="4">
        <v>45661</v>
      </c>
      <c r="B5" s="5" t="s">
        <v>13</v>
      </c>
      <c r="C5" s="5" t="s">
        <v>14</v>
      </c>
      <c r="D5" s="5">
        <v>12000</v>
      </c>
      <c r="E5" s="5">
        <v>1</v>
      </c>
      <c r="F5" s="6">
        <f>Sales_Data[[#This Row],[Sales]]*Sales_Data[[#This Row],[Quantity]]</f>
        <v>12000</v>
      </c>
      <c r="G5" s="6">
        <f>Sales_Data[[#This Row],[Revenue]]*5%</f>
        <v>600</v>
      </c>
    </row>
    <row r="6" spans="1:7">
      <c r="A6" s="4">
        <v>45662</v>
      </c>
      <c r="B6" s="5" t="s">
        <v>7</v>
      </c>
      <c r="C6" s="5" t="s">
        <v>10</v>
      </c>
      <c r="D6" s="5">
        <v>52000</v>
      </c>
      <c r="E6" s="5">
        <v>1</v>
      </c>
      <c r="F6" s="6">
        <f>Sales_Data[[#This Row],[Sales]]*Sales_Data[[#This Row],[Quantity]]</f>
        <v>52000</v>
      </c>
      <c r="G6" s="6">
        <f>Sales_Data[[#This Row],[Revenue]]*5%</f>
        <v>2600</v>
      </c>
    </row>
    <row r="7" spans="1:7">
      <c r="A7" s="4">
        <v>45663</v>
      </c>
      <c r="B7" s="5" t="s">
        <v>9</v>
      </c>
      <c r="C7" s="5" t="s">
        <v>8</v>
      </c>
      <c r="D7" s="5">
        <v>600</v>
      </c>
      <c r="E7" s="5">
        <v>4</v>
      </c>
      <c r="F7" s="6">
        <f>Sales_Data[[#This Row],[Sales]]*Sales_Data[[#This Row],[Quantity]]</f>
        <v>2400</v>
      </c>
      <c r="G7" s="6">
        <f>Sales_Data[[#This Row],[Revenue]]*5%</f>
        <v>120</v>
      </c>
    </row>
    <row r="8" spans="1:7">
      <c r="A8" s="4">
        <v>45664</v>
      </c>
      <c r="B8" s="5" t="s">
        <v>11</v>
      </c>
      <c r="C8" s="5" t="s">
        <v>14</v>
      </c>
      <c r="D8" s="5">
        <v>1700</v>
      </c>
      <c r="E8" s="5">
        <v>2</v>
      </c>
      <c r="F8" s="6">
        <f>Sales_Data[[#This Row],[Sales]]*Sales_Data[[#This Row],[Quantity]]</f>
        <v>3400</v>
      </c>
      <c r="G8" s="6">
        <f>Sales_Data[[#This Row],[Revenue]]*5%</f>
        <v>170</v>
      </c>
    </row>
    <row r="9" spans="1:7">
      <c r="A9" s="4">
        <v>45665</v>
      </c>
      <c r="B9" s="5" t="s">
        <v>13</v>
      </c>
      <c r="C9" s="5" t="s">
        <v>12</v>
      </c>
      <c r="D9" s="5">
        <v>11000</v>
      </c>
      <c r="E9" s="5">
        <v>1</v>
      </c>
      <c r="F9" s="6">
        <f>Sales_Data[[#This Row],[Sales]]*Sales_Data[[#This Row],[Quantity]]</f>
        <v>11000</v>
      </c>
      <c r="G9" s="6">
        <f>Sales_Data[[#This Row],[Revenue]]*5%</f>
        <v>550</v>
      </c>
    </row>
    <row r="10" spans="1:7">
      <c r="A10" s="4">
        <v>45666</v>
      </c>
      <c r="B10" s="5" t="s">
        <v>7</v>
      </c>
      <c r="C10" s="5" t="s">
        <v>15</v>
      </c>
      <c r="D10" s="5">
        <v>53000</v>
      </c>
      <c r="E10" s="5">
        <v>1</v>
      </c>
      <c r="F10" s="6">
        <f>Sales_Data[[#This Row],[Sales]]*Sales_Data[[#This Row],[Quantity]]</f>
        <v>53000</v>
      </c>
      <c r="G10" s="6">
        <f>Sales_Data[[#This Row],[Revenue]]*5%</f>
        <v>2650</v>
      </c>
    </row>
    <row r="11" spans="1:7">
      <c r="A11" s="4">
        <v>45667</v>
      </c>
      <c r="B11" s="3" t="s">
        <v>16</v>
      </c>
      <c r="C11" s="3" t="s">
        <v>17</v>
      </c>
      <c r="D11" s="3">
        <v>13000</v>
      </c>
      <c r="E11" s="3">
        <v>1</v>
      </c>
      <c r="F11" s="6">
        <f>Sales_Data[[#This Row],[Sales]]*Sales_Data[[#This Row],[Quantity]]</f>
        <v>13000</v>
      </c>
      <c r="G11" s="6">
        <f>Sales_Data[[#This Row],[Revenue]]*5%</f>
        <v>650</v>
      </c>
    </row>
    <row r="12" spans="1:7">
      <c r="A12" s="3" t="s">
        <v>18</v>
      </c>
      <c r="B12" s="3"/>
      <c r="C12" s="3"/>
      <c r="D12" s="3"/>
      <c r="E12" s="3"/>
      <c r="F12" s="3">
        <f>SUBTOTAL(109,Sales_Data[Revenue])</f>
        <v>253800</v>
      </c>
      <c r="G12" s="3">
        <f>SUBTOTAL(109,Sales_Data[Bonus])</f>
        <v>12690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14" sqref="G14"/>
    </sheetView>
  </sheetViews>
  <sheetFormatPr defaultColWidth="8.88888888888889" defaultRowHeight="14.4" outlineLevelCol="3"/>
  <cols>
    <col min="1" max="1" width="11.6666666666667"/>
    <col min="2" max="5" width="15.4444444444444"/>
    <col min="6" max="11" width="9.66666666666667"/>
    <col min="12" max="12" width="11.4444444444444"/>
  </cols>
  <sheetData>
    <row r="1" spans="1:2">
      <c r="A1" s="1" t="s">
        <v>1</v>
      </c>
      <c r="B1" s="1" t="s">
        <v>19</v>
      </c>
    </row>
    <row r="3" spans="1:4">
      <c r="A3" s="1" t="s">
        <v>2</v>
      </c>
      <c r="B3" s="1" t="s">
        <v>20</v>
      </c>
      <c r="C3" s="1" t="s">
        <v>21</v>
      </c>
      <c r="D3" s="1" t="s">
        <v>22</v>
      </c>
    </row>
    <row r="4" spans="1:4">
      <c r="A4" s="1" t="s">
        <v>12</v>
      </c>
      <c r="B4" s="1">
        <v>12500</v>
      </c>
      <c r="C4" s="1">
        <v>15500</v>
      </c>
      <c r="D4" s="1">
        <v>775</v>
      </c>
    </row>
    <row r="5" spans="1:4">
      <c r="A5" s="1" t="s">
        <v>15</v>
      </c>
      <c r="B5" s="1">
        <v>53000</v>
      </c>
      <c r="C5" s="1">
        <v>53000</v>
      </c>
      <c r="D5" s="1">
        <v>2650</v>
      </c>
    </row>
    <row r="6" spans="1:4">
      <c r="A6" s="1" t="s">
        <v>10</v>
      </c>
      <c r="B6" s="1">
        <v>52500</v>
      </c>
      <c r="C6" s="1">
        <v>54500</v>
      </c>
      <c r="D6" s="1">
        <v>2725</v>
      </c>
    </row>
    <row r="7" spans="1:4">
      <c r="A7" s="1" t="s">
        <v>8</v>
      </c>
      <c r="B7" s="1">
        <v>50600</v>
      </c>
      <c r="C7" s="1">
        <v>102400</v>
      </c>
      <c r="D7" s="1">
        <v>5120</v>
      </c>
    </row>
    <row r="8" spans="1:4">
      <c r="A8" s="1" t="s">
        <v>14</v>
      </c>
      <c r="B8" s="1">
        <v>13700</v>
      </c>
      <c r="C8" s="1">
        <v>15400</v>
      </c>
      <c r="D8" s="1">
        <v>770</v>
      </c>
    </row>
    <row r="9" spans="1:4">
      <c r="A9" s="1" t="s">
        <v>17</v>
      </c>
      <c r="B9" s="1">
        <v>13000</v>
      </c>
      <c r="C9" s="1">
        <v>13000</v>
      </c>
      <c r="D9" s="1">
        <v>650</v>
      </c>
    </row>
    <row r="10" spans="1:4">
      <c r="A10" s="1" t="s">
        <v>23</v>
      </c>
      <c r="B10" s="1">
        <v>195300</v>
      </c>
      <c r="C10" s="1">
        <v>253800</v>
      </c>
      <c r="D10" s="1">
        <v>12690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Structured_table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2026-02-21T08:16:00Z</dcterms:created>
  <dcterms:modified xsi:type="dcterms:W3CDTF">2026-02-21T09:06:29Z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C0ADEBB9495447B087AD7DB22693BC06_11</vt:lpwstr>
  </property>
  <property fmtid="{D5CDD505-2E9C-101B-9397-08002B2CF9AE}" pid="3" name="KSOProductBuildVer">
    <vt:lpwstr>1033-12.2.0.23196</vt:lpwstr>
  </property>
</Properties>
</file>