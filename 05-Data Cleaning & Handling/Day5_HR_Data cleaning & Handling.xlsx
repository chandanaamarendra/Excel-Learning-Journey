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Raw Data" sheetId="1" r:id="rId1"/>
    <sheet name="Cleaned data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<sst xmlns="http://schemas.openxmlformats.org/spreadsheetml/2006/main" count="827" uniqueCount="168">
  <si>
    <t>Employee ID</t>
  </si>
  <si>
    <t>Full Name</t>
  </si>
  <si>
    <t>Department</t>
  </si>
  <si>
    <t>Email</t>
  </si>
  <si>
    <t>Salary</t>
  </si>
  <si>
    <t>Joining Date</t>
  </si>
  <si>
    <t>Bonus</t>
  </si>
  <si>
    <t>Manager</t>
  </si>
  <si>
    <t>Ram Kumar</t>
  </si>
  <si>
    <t>HR</t>
  </si>
  <si>
    <t>ram@gmail.com</t>
  </si>
  <si>
    <t>Suresh</t>
  </si>
  <si>
    <t>sita devi</t>
  </si>
  <si>
    <t>IT</t>
  </si>
  <si>
    <t>sita@gmail.com</t>
  </si>
  <si>
    <t>Mahesh</t>
  </si>
  <si>
    <t>Ravi Kumar</t>
  </si>
  <si>
    <t>Sales</t>
  </si>
  <si>
    <t>ravi@gmail.com</t>
  </si>
  <si>
    <t>Meena Sharma</t>
  </si>
  <si>
    <t>meena@gmail.com</t>
  </si>
  <si>
    <t>JOHN RAO</t>
  </si>
  <si>
    <t>Finance</t>
  </si>
  <si>
    <t>john@gmail.com</t>
  </si>
  <si>
    <t>Kavitha</t>
  </si>
  <si>
    <t>Kavya Reddy</t>
  </si>
  <si>
    <t>kavya@gmail.com</t>
  </si>
  <si>
    <t>Arjun Naik</t>
  </si>
  <si>
    <t>arjun@gmail.com</t>
  </si>
  <si>
    <t>priya sharma</t>
  </si>
  <si>
    <t>priya@gmail.com</t>
  </si>
  <si>
    <t>Rohit Verma</t>
  </si>
  <si>
    <t>rohit@gmail.com</t>
  </si>
  <si>
    <t>Sneha Iyer</t>
  </si>
  <si>
    <t>sneha@gmail.com</t>
  </si>
  <si>
    <t>Vikram Singh</t>
  </si>
  <si>
    <t>vikram@gmail.com</t>
  </si>
  <si>
    <t>Anjali Mehta</t>
  </si>
  <si>
    <t>anjali@gmail.com</t>
  </si>
  <si>
    <t>Raj Patel</t>
  </si>
  <si>
    <t>raj@gmail.com</t>
  </si>
  <si>
    <t>Neha Joshi</t>
  </si>
  <si>
    <t>neha@gmail.com</t>
  </si>
  <si>
    <t>Kiran Das</t>
  </si>
  <si>
    <t>kiran@gmail.com</t>
  </si>
  <si>
    <t>Pooja Nair</t>
  </si>
  <si>
    <t>pooja@gmail.com</t>
  </si>
  <si>
    <t>Aman Gupta</t>
  </si>
  <si>
    <t>aman@gmail.com</t>
  </si>
  <si>
    <t>Ritu Jain</t>
  </si>
  <si>
    <t>ritu@gmail.com</t>
  </si>
  <si>
    <t>Mohan Rao</t>
  </si>
  <si>
    <t>mohan@gmail.com</t>
  </si>
  <si>
    <t>Sunita Devi</t>
  </si>
  <si>
    <t>sunita@gmail.com</t>
  </si>
  <si>
    <t>Deepak Kumar</t>
  </si>
  <si>
    <t>deepak@gmail.com</t>
  </si>
  <si>
    <t>Varun Kapoor</t>
  </si>
  <si>
    <t>varun@gmail.com</t>
  </si>
  <si>
    <t>Nisha Verma</t>
  </si>
  <si>
    <t>nisha@gmail.com</t>
  </si>
  <si>
    <t>Rahul Singh</t>
  </si>
  <si>
    <t>rahul@gmail.com</t>
  </si>
  <si>
    <t>Kavita Sharma</t>
  </si>
  <si>
    <t>kavita@gmail.com</t>
  </si>
  <si>
    <t>Tarun Mehta</t>
  </si>
  <si>
    <t>tarun@gmail.com</t>
  </si>
  <si>
    <t>Pawan Kumar</t>
  </si>
  <si>
    <t>pawan@gmail.com</t>
  </si>
  <si>
    <t>Divya Nair</t>
  </si>
  <si>
    <t>divya@gmail.com</t>
  </si>
  <si>
    <t>Karthik Rao</t>
  </si>
  <si>
    <t>karthik@gmail.com</t>
  </si>
  <si>
    <t>Rekha Das</t>
  </si>
  <si>
    <t>rekha@gmail.com</t>
  </si>
  <si>
    <t>Ram kumar</t>
  </si>
  <si>
    <t>SITA DEVI</t>
  </si>
  <si>
    <t>Meena sharma</t>
  </si>
  <si>
    <t>John Rao</t>
  </si>
  <si>
    <t>Kavya reddy</t>
  </si>
  <si>
    <t>Arjun naik</t>
  </si>
  <si>
    <t>Priya Sharma</t>
  </si>
  <si>
    <t>Rohit verma</t>
  </si>
  <si>
    <t>Sneha iyer</t>
  </si>
  <si>
    <t>Ajay Kumar</t>
  </si>
  <si>
    <t>ajay@gmail.com</t>
  </si>
  <si>
    <t>Bhavna Shah</t>
  </si>
  <si>
    <t>bhavna@gmail.com</t>
  </si>
  <si>
    <t>Chirag Jain</t>
  </si>
  <si>
    <t>chirag@gmail.com</t>
  </si>
  <si>
    <t>Deepika Rao</t>
  </si>
  <si>
    <t>deepika@gmail.com</t>
  </si>
  <si>
    <t>Esha Gupta</t>
  </si>
  <si>
    <t>esha@gmail.com</t>
  </si>
  <si>
    <t>Farhan Ali</t>
  </si>
  <si>
    <t>farhan@gmail.com</t>
  </si>
  <si>
    <t>Gaurav Singh</t>
  </si>
  <si>
    <t>gaurav@gmail.com</t>
  </si>
  <si>
    <t>Heena Khan</t>
  </si>
  <si>
    <t>heena@gmail.com</t>
  </si>
  <si>
    <t>Imran Khan</t>
  </si>
  <si>
    <t>imran@gmail.com</t>
  </si>
  <si>
    <t>Jyoti Verma</t>
  </si>
  <si>
    <t>jyoti@gmail.com</t>
  </si>
  <si>
    <t>akash reddy</t>
  </si>
  <si>
    <t>akash@gmail.com</t>
  </si>
  <si>
    <t>Neha Sharma</t>
  </si>
  <si>
    <t>ROHAN DAS</t>
  </si>
  <si>
    <t>rohan@gmail.com</t>
  </si>
  <si>
    <t>Meera Nair</t>
  </si>
  <si>
    <t>meera@gmail.com</t>
  </si>
  <si>
    <t>vikas kumar</t>
  </si>
  <si>
    <t>vikas@gmail.com</t>
  </si>
  <si>
    <t>Pooja Singh</t>
  </si>
  <si>
    <t>Arvind Rao</t>
  </si>
  <si>
    <t>arvind@gmail.com</t>
  </si>
  <si>
    <t>sneha patil</t>
  </si>
  <si>
    <t>Kiran Verma</t>
  </si>
  <si>
    <t>Mohit Jain</t>
  </si>
  <si>
    <t>mohit@gmail.com</t>
  </si>
  <si>
    <t>ANIL KUMAR</t>
  </si>
  <si>
    <t>anil@gmail.com</t>
  </si>
  <si>
    <t>Divya Kapoor</t>
  </si>
  <si>
    <t>rahul sharma</t>
  </si>
  <si>
    <t>Nisha Reddy</t>
  </si>
  <si>
    <t>Sameer Khan</t>
  </si>
  <si>
    <t>sameer@gmail.com</t>
  </si>
  <si>
    <t>Kavita Joshi</t>
  </si>
  <si>
    <t>AMIT SHAH</t>
  </si>
  <si>
    <t>amit@gmail.com</t>
  </si>
  <si>
    <t>Ritu Agarwal</t>
  </si>
  <si>
    <t>Sandeep Singh</t>
  </si>
  <si>
    <t>sandeep@gmail.com</t>
  </si>
  <si>
    <t>Neeraj Gupta</t>
  </si>
  <si>
    <t>neeraj@gmail.com</t>
  </si>
  <si>
    <t>Priya Nair</t>
  </si>
  <si>
    <t>Rakesh Kumar</t>
  </si>
  <si>
    <t>rakesh@gmail.com</t>
  </si>
  <si>
    <t>Sunil Das</t>
  </si>
  <si>
    <t>sunil@gmail.com</t>
  </si>
  <si>
    <t>Ananya Singh</t>
  </si>
  <si>
    <t>ananya@gmail.com</t>
  </si>
  <si>
    <t>deepak reddy</t>
  </si>
  <si>
    <t>Kavya Nair</t>
  </si>
  <si>
    <t>Manoj Kumar</t>
  </si>
  <si>
    <t>manoj@gmail.com</t>
  </si>
  <si>
    <t>Riya Shah</t>
  </si>
  <si>
    <t>riya@gmail.com</t>
  </si>
  <si>
    <t>Ajay Verma</t>
  </si>
  <si>
    <t>Nikhil Jain</t>
  </si>
  <si>
    <t>nikhil@gmail.com</t>
  </si>
  <si>
    <t>Clean Name</t>
  </si>
  <si>
    <t>Clean dept</t>
  </si>
  <si>
    <t>Clean Email</t>
  </si>
  <si>
    <t>Clean Salary</t>
  </si>
  <si>
    <t>Clean Bonus</t>
  </si>
  <si>
    <t>Clean manager</t>
  </si>
  <si>
    <t>Total Pay</t>
  </si>
  <si>
    <r>
      <t xml:space="preserve">What i have done:  </t>
    </r>
    <r>
      <rPr>
        <sz val="11"/>
        <color theme="1"/>
        <rFont val="Calibri"/>
        <charset val="134"/>
        <scheme val="minor"/>
      </rPr>
      <t>Remove Duplicates
Fix Text Formatting
Handle Missing Salary
Handle Missing Bonus
Handle Missing Email
Handle Missing Manager
Create Total Pay column</t>
    </r>
  </si>
  <si>
    <t>SUMMARY</t>
  </si>
  <si>
    <t>Variable</t>
  </si>
  <si>
    <t>Result</t>
  </si>
  <si>
    <t>Total Employees</t>
  </si>
  <si>
    <t>Average Salary</t>
  </si>
  <si>
    <t>Highest Salary</t>
  </si>
  <si>
    <t>Lowest Salary</t>
  </si>
  <si>
    <t>Total Salary Paid</t>
  </si>
  <si>
    <t>Total Bonus Paid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</si>
</sst>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NumberFormat="1" applyBorder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180" fontId="0" fillId="0" borderId="0" xfId="0" applyNumberForma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rohit@gmail.com" TargetMode="External"/><Relationship Id="rId8" Type="http://schemas.openxmlformats.org/officeDocument/2006/relationships/hyperlink" Target="mailto:priya@gmail.com" TargetMode="External"/><Relationship Id="rId7" Type="http://schemas.openxmlformats.org/officeDocument/2006/relationships/hyperlink" Target="mailto:arjun@gmail.com" TargetMode="External"/><Relationship Id="rId6" Type="http://schemas.openxmlformats.org/officeDocument/2006/relationships/hyperlink" Target="mailto:kavya@gmail.com" TargetMode="External"/><Relationship Id="rId57" Type="http://schemas.openxmlformats.org/officeDocument/2006/relationships/hyperlink" Target="mailto:nikhil@gmail.com" TargetMode="External"/><Relationship Id="rId56" Type="http://schemas.openxmlformats.org/officeDocument/2006/relationships/hyperlink" Target="mailto:riya@gmail.com" TargetMode="External"/><Relationship Id="rId55" Type="http://schemas.openxmlformats.org/officeDocument/2006/relationships/hyperlink" Target="mailto:manoj@gmail.com" TargetMode="External"/><Relationship Id="rId54" Type="http://schemas.openxmlformats.org/officeDocument/2006/relationships/hyperlink" Target="mailto:ananya@gmail.com" TargetMode="External"/><Relationship Id="rId53" Type="http://schemas.openxmlformats.org/officeDocument/2006/relationships/hyperlink" Target="mailto:sunil@gmail.com" TargetMode="External"/><Relationship Id="rId52" Type="http://schemas.openxmlformats.org/officeDocument/2006/relationships/hyperlink" Target="mailto:rakesh@gmail.com" TargetMode="External"/><Relationship Id="rId51" Type="http://schemas.openxmlformats.org/officeDocument/2006/relationships/hyperlink" Target="mailto:neeraj@gmail.com" TargetMode="External"/><Relationship Id="rId50" Type="http://schemas.openxmlformats.org/officeDocument/2006/relationships/hyperlink" Target="mailto:sandeep@gmail.com" TargetMode="External"/><Relationship Id="rId5" Type="http://schemas.openxmlformats.org/officeDocument/2006/relationships/hyperlink" Target="mailto:john@gmail.com" TargetMode="External"/><Relationship Id="rId49" Type="http://schemas.openxmlformats.org/officeDocument/2006/relationships/hyperlink" Target="mailto:amit@gmail.com" TargetMode="External"/><Relationship Id="rId48" Type="http://schemas.openxmlformats.org/officeDocument/2006/relationships/hyperlink" Target="mailto:sameer@gmail.com" TargetMode="External"/><Relationship Id="rId47" Type="http://schemas.openxmlformats.org/officeDocument/2006/relationships/hyperlink" Target="mailto:anil@gmail.com" TargetMode="External"/><Relationship Id="rId46" Type="http://schemas.openxmlformats.org/officeDocument/2006/relationships/hyperlink" Target="mailto:mohit@gmail.com" TargetMode="External"/><Relationship Id="rId45" Type="http://schemas.openxmlformats.org/officeDocument/2006/relationships/hyperlink" Target="mailto:arvind@gmail.com" TargetMode="External"/><Relationship Id="rId44" Type="http://schemas.openxmlformats.org/officeDocument/2006/relationships/hyperlink" Target="mailto:vikas@gmail.com" TargetMode="External"/><Relationship Id="rId43" Type="http://schemas.openxmlformats.org/officeDocument/2006/relationships/hyperlink" Target="mailto:meera@gmail.com" TargetMode="External"/><Relationship Id="rId42" Type="http://schemas.openxmlformats.org/officeDocument/2006/relationships/hyperlink" Target="mailto:rohan@gmail.com" TargetMode="External"/><Relationship Id="rId41" Type="http://schemas.openxmlformats.org/officeDocument/2006/relationships/hyperlink" Target="mailto:akash@gmail.com" TargetMode="External"/><Relationship Id="rId40" Type="http://schemas.openxmlformats.org/officeDocument/2006/relationships/hyperlink" Target="mailto:jyoti@gmail.com" TargetMode="External"/><Relationship Id="rId4" Type="http://schemas.openxmlformats.org/officeDocument/2006/relationships/hyperlink" Target="mailto:meena@gmail.com" TargetMode="External"/><Relationship Id="rId39" Type="http://schemas.openxmlformats.org/officeDocument/2006/relationships/hyperlink" Target="mailto:imran@gmail.com" TargetMode="External"/><Relationship Id="rId38" Type="http://schemas.openxmlformats.org/officeDocument/2006/relationships/hyperlink" Target="mailto:heena@gmail.com" TargetMode="External"/><Relationship Id="rId37" Type="http://schemas.openxmlformats.org/officeDocument/2006/relationships/hyperlink" Target="mailto:gaurav@gmail.com" TargetMode="External"/><Relationship Id="rId36" Type="http://schemas.openxmlformats.org/officeDocument/2006/relationships/hyperlink" Target="mailto:farhan@gmail.com" TargetMode="External"/><Relationship Id="rId35" Type="http://schemas.openxmlformats.org/officeDocument/2006/relationships/hyperlink" Target="mailto:esha@gmail.com" TargetMode="External"/><Relationship Id="rId34" Type="http://schemas.openxmlformats.org/officeDocument/2006/relationships/hyperlink" Target="mailto:deepika@gmail.com" TargetMode="External"/><Relationship Id="rId33" Type="http://schemas.openxmlformats.org/officeDocument/2006/relationships/hyperlink" Target="mailto:chirag@gmail.com" TargetMode="External"/><Relationship Id="rId32" Type="http://schemas.openxmlformats.org/officeDocument/2006/relationships/hyperlink" Target="mailto:bhavna@gmail.com" TargetMode="External"/><Relationship Id="rId31" Type="http://schemas.openxmlformats.org/officeDocument/2006/relationships/hyperlink" Target="mailto:ajay@gmail.com" TargetMode="External"/><Relationship Id="rId30" Type="http://schemas.openxmlformats.org/officeDocument/2006/relationships/hyperlink" Target="mailto:rekha@gmail.com" TargetMode="External"/><Relationship Id="rId3" Type="http://schemas.openxmlformats.org/officeDocument/2006/relationships/hyperlink" Target="mailto:ravi@gmail.com" TargetMode="External"/><Relationship Id="rId29" Type="http://schemas.openxmlformats.org/officeDocument/2006/relationships/hyperlink" Target="mailto:karthik@gmail.com" TargetMode="External"/><Relationship Id="rId28" Type="http://schemas.openxmlformats.org/officeDocument/2006/relationships/hyperlink" Target="mailto:divya@gmail.com" TargetMode="External"/><Relationship Id="rId27" Type="http://schemas.openxmlformats.org/officeDocument/2006/relationships/hyperlink" Target="mailto:pawan@gmail.com" TargetMode="External"/><Relationship Id="rId26" Type="http://schemas.openxmlformats.org/officeDocument/2006/relationships/hyperlink" Target="mailto:tarun@gmail.com" TargetMode="External"/><Relationship Id="rId25" Type="http://schemas.openxmlformats.org/officeDocument/2006/relationships/hyperlink" Target="mailto:kavita@gmail.com" TargetMode="External"/><Relationship Id="rId24" Type="http://schemas.openxmlformats.org/officeDocument/2006/relationships/hyperlink" Target="mailto:rahul@gmail.com" TargetMode="External"/><Relationship Id="rId23" Type="http://schemas.openxmlformats.org/officeDocument/2006/relationships/hyperlink" Target="mailto:nisha@gmail.com" TargetMode="External"/><Relationship Id="rId22" Type="http://schemas.openxmlformats.org/officeDocument/2006/relationships/hyperlink" Target="mailto:varun@gmail.com" TargetMode="External"/><Relationship Id="rId21" Type="http://schemas.openxmlformats.org/officeDocument/2006/relationships/hyperlink" Target="mailto:deepak@gmail.com" TargetMode="External"/><Relationship Id="rId20" Type="http://schemas.openxmlformats.org/officeDocument/2006/relationships/hyperlink" Target="mailto:sunita@gmail.com" TargetMode="External"/><Relationship Id="rId2" Type="http://schemas.openxmlformats.org/officeDocument/2006/relationships/hyperlink" Target="mailto:sita@gmail.com" TargetMode="External"/><Relationship Id="rId19" Type="http://schemas.openxmlformats.org/officeDocument/2006/relationships/hyperlink" Target="mailto:mohan@gmail.com" TargetMode="External"/><Relationship Id="rId18" Type="http://schemas.openxmlformats.org/officeDocument/2006/relationships/hyperlink" Target="mailto:ritu@gmail.com" TargetMode="External"/><Relationship Id="rId17" Type="http://schemas.openxmlformats.org/officeDocument/2006/relationships/hyperlink" Target="mailto:aman@gmail.com" TargetMode="External"/><Relationship Id="rId16" Type="http://schemas.openxmlformats.org/officeDocument/2006/relationships/hyperlink" Target="mailto:pooja@gmail.com" TargetMode="External"/><Relationship Id="rId15" Type="http://schemas.openxmlformats.org/officeDocument/2006/relationships/hyperlink" Target="mailto:kiran@gmail.com" TargetMode="External"/><Relationship Id="rId14" Type="http://schemas.openxmlformats.org/officeDocument/2006/relationships/hyperlink" Target="mailto:neha@gmail.com" TargetMode="External"/><Relationship Id="rId13" Type="http://schemas.openxmlformats.org/officeDocument/2006/relationships/hyperlink" Target="mailto:raj@gmail.com" TargetMode="External"/><Relationship Id="rId12" Type="http://schemas.openxmlformats.org/officeDocument/2006/relationships/hyperlink" Target="mailto:anjali@gmail.com" TargetMode="External"/><Relationship Id="rId11" Type="http://schemas.openxmlformats.org/officeDocument/2006/relationships/hyperlink" Target="mailto:vikram@gmail.com" TargetMode="External"/><Relationship Id="rId10" Type="http://schemas.openxmlformats.org/officeDocument/2006/relationships/hyperlink" Target="mailto:sneha@gmail.com" TargetMode="External"/><Relationship Id="rId1" Type="http://schemas.openxmlformats.org/officeDocument/2006/relationships/hyperlink" Target="mailto:ram@gmail.com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mailto:rohit@gmail.com" TargetMode="External"/><Relationship Id="rId8" Type="http://schemas.openxmlformats.org/officeDocument/2006/relationships/hyperlink" Target="mailto:priya@gmail.com" TargetMode="External"/><Relationship Id="rId7" Type="http://schemas.openxmlformats.org/officeDocument/2006/relationships/hyperlink" Target="mailto:arjun@gmail.com" TargetMode="External"/><Relationship Id="rId6" Type="http://schemas.openxmlformats.org/officeDocument/2006/relationships/hyperlink" Target="mailto:kavya@gmail.com" TargetMode="External"/><Relationship Id="rId57" Type="http://schemas.openxmlformats.org/officeDocument/2006/relationships/hyperlink" Target="mailto:nikhil@gmail.com" TargetMode="External"/><Relationship Id="rId56" Type="http://schemas.openxmlformats.org/officeDocument/2006/relationships/hyperlink" Target="mailto:riya@gmail.com" TargetMode="External"/><Relationship Id="rId55" Type="http://schemas.openxmlformats.org/officeDocument/2006/relationships/hyperlink" Target="mailto:manoj@gmail.com" TargetMode="External"/><Relationship Id="rId54" Type="http://schemas.openxmlformats.org/officeDocument/2006/relationships/hyperlink" Target="mailto:ananya@gmail.com" TargetMode="External"/><Relationship Id="rId53" Type="http://schemas.openxmlformats.org/officeDocument/2006/relationships/hyperlink" Target="mailto:sunil@gmail.com" TargetMode="External"/><Relationship Id="rId52" Type="http://schemas.openxmlformats.org/officeDocument/2006/relationships/hyperlink" Target="mailto:rakesh@gmail.com" TargetMode="External"/><Relationship Id="rId51" Type="http://schemas.openxmlformats.org/officeDocument/2006/relationships/hyperlink" Target="mailto:neeraj@gmail.com" TargetMode="External"/><Relationship Id="rId50" Type="http://schemas.openxmlformats.org/officeDocument/2006/relationships/hyperlink" Target="mailto:sandeep@gmail.com" TargetMode="External"/><Relationship Id="rId5" Type="http://schemas.openxmlformats.org/officeDocument/2006/relationships/hyperlink" Target="mailto:john@gmail.com" TargetMode="External"/><Relationship Id="rId49" Type="http://schemas.openxmlformats.org/officeDocument/2006/relationships/hyperlink" Target="mailto:amit@gmail.com" TargetMode="External"/><Relationship Id="rId48" Type="http://schemas.openxmlformats.org/officeDocument/2006/relationships/hyperlink" Target="mailto:sameer@gmail.com" TargetMode="External"/><Relationship Id="rId47" Type="http://schemas.openxmlformats.org/officeDocument/2006/relationships/hyperlink" Target="mailto:anil@gmail.com" TargetMode="External"/><Relationship Id="rId46" Type="http://schemas.openxmlformats.org/officeDocument/2006/relationships/hyperlink" Target="mailto:mohit@gmail.com" TargetMode="External"/><Relationship Id="rId45" Type="http://schemas.openxmlformats.org/officeDocument/2006/relationships/hyperlink" Target="mailto:arvind@gmail.com" TargetMode="External"/><Relationship Id="rId44" Type="http://schemas.openxmlformats.org/officeDocument/2006/relationships/hyperlink" Target="mailto:vikas@gmail.com" TargetMode="External"/><Relationship Id="rId43" Type="http://schemas.openxmlformats.org/officeDocument/2006/relationships/hyperlink" Target="mailto:meera@gmail.com" TargetMode="External"/><Relationship Id="rId42" Type="http://schemas.openxmlformats.org/officeDocument/2006/relationships/hyperlink" Target="mailto:rohan@gmail.com" TargetMode="External"/><Relationship Id="rId41" Type="http://schemas.openxmlformats.org/officeDocument/2006/relationships/hyperlink" Target="mailto:akash@gmail.com" TargetMode="External"/><Relationship Id="rId40" Type="http://schemas.openxmlformats.org/officeDocument/2006/relationships/hyperlink" Target="mailto:jyoti@gmail.com" TargetMode="External"/><Relationship Id="rId4" Type="http://schemas.openxmlformats.org/officeDocument/2006/relationships/hyperlink" Target="mailto:meena@gmail.com" TargetMode="External"/><Relationship Id="rId39" Type="http://schemas.openxmlformats.org/officeDocument/2006/relationships/hyperlink" Target="mailto:imran@gmail.com" TargetMode="External"/><Relationship Id="rId38" Type="http://schemas.openxmlformats.org/officeDocument/2006/relationships/hyperlink" Target="mailto:heena@gmail.com" TargetMode="External"/><Relationship Id="rId37" Type="http://schemas.openxmlformats.org/officeDocument/2006/relationships/hyperlink" Target="mailto:gaurav@gmail.com" TargetMode="External"/><Relationship Id="rId36" Type="http://schemas.openxmlformats.org/officeDocument/2006/relationships/hyperlink" Target="mailto:farhan@gmail.com" TargetMode="External"/><Relationship Id="rId35" Type="http://schemas.openxmlformats.org/officeDocument/2006/relationships/hyperlink" Target="mailto:esha@gmail.com" TargetMode="External"/><Relationship Id="rId34" Type="http://schemas.openxmlformats.org/officeDocument/2006/relationships/hyperlink" Target="mailto:deepika@gmail.com" TargetMode="External"/><Relationship Id="rId33" Type="http://schemas.openxmlformats.org/officeDocument/2006/relationships/hyperlink" Target="mailto:chirag@gmail.com" TargetMode="External"/><Relationship Id="rId32" Type="http://schemas.openxmlformats.org/officeDocument/2006/relationships/hyperlink" Target="mailto:bhavna@gmail.com" TargetMode="External"/><Relationship Id="rId31" Type="http://schemas.openxmlformats.org/officeDocument/2006/relationships/hyperlink" Target="mailto:ajay@gmail.com" TargetMode="External"/><Relationship Id="rId30" Type="http://schemas.openxmlformats.org/officeDocument/2006/relationships/hyperlink" Target="mailto:rekha@gmail.com" TargetMode="External"/><Relationship Id="rId3" Type="http://schemas.openxmlformats.org/officeDocument/2006/relationships/hyperlink" Target="mailto:ravi@gmail.com" TargetMode="External"/><Relationship Id="rId29" Type="http://schemas.openxmlformats.org/officeDocument/2006/relationships/hyperlink" Target="mailto:karthik@gmail.com" TargetMode="External"/><Relationship Id="rId28" Type="http://schemas.openxmlformats.org/officeDocument/2006/relationships/hyperlink" Target="mailto:divya@gmail.com" TargetMode="External"/><Relationship Id="rId27" Type="http://schemas.openxmlformats.org/officeDocument/2006/relationships/hyperlink" Target="mailto:pawan@gmail.com" TargetMode="External"/><Relationship Id="rId26" Type="http://schemas.openxmlformats.org/officeDocument/2006/relationships/hyperlink" Target="mailto:tarun@gmail.com" TargetMode="External"/><Relationship Id="rId25" Type="http://schemas.openxmlformats.org/officeDocument/2006/relationships/hyperlink" Target="mailto:kavita@gmail.com" TargetMode="External"/><Relationship Id="rId24" Type="http://schemas.openxmlformats.org/officeDocument/2006/relationships/hyperlink" Target="mailto:rahul@gmail.com" TargetMode="External"/><Relationship Id="rId23" Type="http://schemas.openxmlformats.org/officeDocument/2006/relationships/hyperlink" Target="mailto:nisha@gmail.com" TargetMode="External"/><Relationship Id="rId22" Type="http://schemas.openxmlformats.org/officeDocument/2006/relationships/hyperlink" Target="mailto:varun@gmail.com" TargetMode="External"/><Relationship Id="rId21" Type="http://schemas.openxmlformats.org/officeDocument/2006/relationships/hyperlink" Target="mailto:deepak@gmail.com" TargetMode="External"/><Relationship Id="rId20" Type="http://schemas.openxmlformats.org/officeDocument/2006/relationships/hyperlink" Target="mailto:sunita@gmail.com" TargetMode="External"/><Relationship Id="rId2" Type="http://schemas.openxmlformats.org/officeDocument/2006/relationships/hyperlink" Target="mailto:sita@gmail.com" TargetMode="External"/><Relationship Id="rId19" Type="http://schemas.openxmlformats.org/officeDocument/2006/relationships/hyperlink" Target="mailto:mohan@gmail.com" TargetMode="External"/><Relationship Id="rId18" Type="http://schemas.openxmlformats.org/officeDocument/2006/relationships/hyperlink" Target="mailto:ritu@gmail.com" TargetMode="External"/><Relationship Id="rId17" Type="http://schemas.openxmlformats.org/officeDocument/2006/relationships/hyperlink" Target="mailto:aman@gmail.com" TargetMode="External"/><Relationship Id="rId16" Type="http://schemas.openxmlformats.org/officeDocument/2006/relationships/hyperlink" Target="mailto:pooja@gmail.com" TargetMode="External"/><Relationship Id="rId15" Type="http://schemas.openxmlformats.org/officeDocument/2006/relationships/hyperlink" Target="mailto:kiran@gmail.com" TargetMode="External"/><Relationship Id="rId14" Type="http://schemas.openxmlformats.org/officeDocument/2006/relationships/hyperlink" Target="mailto:neha@gmail.com" TargetMode="External"/><Relationship Id="rId13" Type="http://schemas.openxmlformats.org/officeDocument/2006/relationships/hyperlink" Target="mailto:raj@gmail.com" TargetMode="External"/><Relationship Id="rId12" Type="http://schemas.openxmlformats.org/officeDocument/2006/relationships/hyperlink" Target="mailto:anjali@gmail.com" TargetMode="External"/><Relationship Id="rId11" Type="http://schemas.openxmlformats.org/officeDocument/2006/relationships/hyperlink" Target="mailto:vikram@gmail.com" TargetMode="External"/><Relationship Id="rId10" Type="http://schemas.openxmlformats.org/officeDocument/2006/relationships/hyperlink" Target="mailto:sneha@gmail.com" TargetMode="External"/><Relationship Id="rId1" Type="http://schemas.openxmlformats.org/officeDocument/2006/relationships/hyperlink" Target="mailto:r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3"/>
  <sheetViews>
    <sheetView workbookViewId="0">
      <selection activeCell="B93" sqref="A1:H113"/>
    </sheetView>
  </sheetViews>
  <sheetFormatPr defaultColWidth="8.88888888888889" defaultRowHeight="14.4"/>
  <cols>
    <col min="1" max="4" width="11.5555555555556" customWidth="1"/>
    <col min="5" max="5" width="18.6666666666667" customWidth="1"/>
    <col min="6" max="11" width="11.5555555555556" customWidth="1"/>
  </cols>
  <sheetData>
    <row r="1" spans="1:1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/>
      <c r="J1" s="13"/>
      <c r="K1" s="13"/>
    </row>
    <row r="2" ht="28.8" spans="1:11">
      <c r="A2" s="8">
        <v>101</v>
      </c>
      <c r="B2" s="8" t="s">
        <v>8</v>
      </c>
      <c r="C2" s="8" t="s">
        <v>9</v>
      </c>
      <c r="D2" s="8" t="s">
        <v>10</v>
      </c>
      <c r="E2" s="8">
        <v>25000</v>
      </c>
      <c r="F2" s="10">
        <v>44938</v>
      </c>
      <c r="G2" s="8">
        <v>2000</v>
      </c>
      <c r="H2" s="8" t="s">
        <v>11</v>
      </c>
      <c r="I2" s="10"/>
      <c r="J2" s="8"/>
      <c r="K2" s="8"/>
    </row>
    <row r="3" ht="28.8" spans="1:11">
      <c r="A3" s="8">
        <v>102</v>
      </c>
      <c r="B3" s="8" t="s">
        <v>12</v>
      </c>
      <c r="C3" s="8" t="s">
        <v>13</v>
      </c>
      <c r="D3" s="8" t="s">
        <v>14</v>
      </c>
      <c r="E3" s="8">
        <v>30000</v>
      </c>
      <c r="F3" s="10">
        <v>44972</v>
      </c>
      <c r="G3" s="8"/>
      <c r="H3" s="8" t="s">
        <v>15</v>
      </c>
      <c r="I3" s="10"/>
      <c r="J3" s="8"/>
      <c r="K3" s="8"/>
    </row>
    <row r="4" ht="28.8" spans="1:11">
      <c r="A4" s="8">
        <v>103</v>
      </c>
      <c r="B4" s="8" t="s">
        <v>16</v>
      </c>
      <c r="C4" s="8" t="s">
        <v>17</v>
      </c>
      <c r="D4" s="8" t="s">
        <v>18</v>
      </c>
      <c r="E4" s="8">
        <v>28000</v>
      </c>
      <c r="F4" s="10">
        <v>45003</v>
      </c>
      <c r="G4" s="8">
        <v>2500</v>
      </c>
      <c r="H4" s="8" t="s">
        <v>11</v>
      </c>
      <c r="I4" s="10"/>
      <c r="J4" s="8"/>
      <c r="K4" s="8"/>
    </row>
    <row r="5" ht="28.8" spans="1:11">
      <c r="A5" s="8">
        <v>104</v>
      </c>
      <c r="B5" s="8" t="s">
        <v>19</v>
      </c>
      <c r="C5" s="8" t="s">
        <v>13</v>
      </c>
      <c r="D5" s="8" t="s">
        <v>20</v>
      </c>
      <c r="E5" s="8">
        <v>35000</v>
      </c>
      <c r="F5" s="10">
        <v>45037</v>
      </c>
      <c r="G5" s="8">
        <v>3000</v>
      </c>
      <c r="H5" s="8"/>
      <c r="I5" s="10"/>
      <c r="J5" s="8"/>
      <c r="K5" s="8"/>
    </row>
    <row r="6" ht="28.8" spans="1:11">
      <c r="A6" s="8">
        <v>105</v>
      </c>
      <c r="B6" s="8" t="s">
        <v>21</v>
      </c>
      <c r="C6" s="8" t="s">
        <v>22</v>
      </c>
      <c r="D6" s="8" t="s">
        <v>23</v>
      </c>
      <c r="E6" s="8">
        <v>40000</v>
      </c>
      <c r="F6" s="10">
        <v>45071</v>
      </c>
      <c r="G6" s="8">
        <v>4000</v>
      </c>
      <c r="H6" s="8" t="s">
        <v>24</v>
      </c>
      <c r="I6" s="10"/>
      <c r="J6" s="8"/>
      <c r="K6" s="8"/>
    </row>
    <row r="7" ht="28.8" spans="1:11">
      <c r="A7" s="8">
        <v>106</v>
      </c>
      <c r="B7" s="8" t="s">
        <v>25</v>
      </c>
      <c r="C7" s="8" t="s">
        <v>13</v>
      </c>
      <c r="D7" s="8" t="s">
        <v>26</v>
      </c>
      <c r="E7" s="8"/>
      <c r="F7" s="10">
        <v>45078</v>
      </c>
      <c r="G7" s="8">
        <v>1500</v>
      </c>
      <c r="H7" s="8" t="s">
        <v>15</v>
      </c>
      <c r="I7" s="10"/>
      <c r="J7" s="8"/>
      <c r="K7" s="8"/>
    </row>
    <row r="8" ht="28.8" spans="1:11">
      <c r="A8" s="8">
        <v>107</v>
      </c>
      <c r="B8" s="8" t="s">
        <v>27</v>
      </c>
      <c r="C8" s="8" t="s">
        <v>17</v>
      </c>
      <c r="D8" s="8" t="s">
        <v>28</v>
      </c>
      <c r="E8" s="8">
        <v>27000</v>
      </c>
      <c r="F8" s="10">
        <v>45088</v>
      </c>
      <c r="G8" s="8"/>
      <c r="H8" s="8" t="s">
        <v>11</v>
      </c>
      <c r="I8" s="10"/>
      <c r="J8" s="8"/>
      <c r="K8" s="8"/>
    </row>
    <row r="9" ht="28.8" spans="1:11">
      <c r="A9" s="8">
        <v>108</v>
      </c>
      <c r="B9" s="8" t="s">
        <v>29</v>
      </c>
      <c r="C9" s="8" t="s">
        <v>9</v>
      </c>
      <c r="D9" s="8" t="s">
        <v>30</v>
      </c>
      <c r="E9" s="8">
        <v>26000</v>
      </c>
      <c r="F9" s="10">
        <v>45126</v>
      </c>
      <c r="G9" s="8">
        <v>1800</v>
      </c>
      <c r="H9" s="8" t="s">
        <v>24</v>
      </c>
      <c r="I9" s="10"/>
      <c r="J9" s="8"/>
      <c r="K9" s="8"/>
    </row>
    <row r="10" ht="28.8" spans="1:11">
      <c r="A10" s="8">
        <v>109</v>
      </c>
      <c r="B10" s="8" t="s">
        <v>31</v>
      </c>
      <c r="C10" s="8" t="s">
        <v>22</v>
      </c>
      <c r="D10" s="8" t="s">
        <v>32</v>
      </c>
      <c r="E10" s="8">
        <v>38000</v>
      </c>
      <c r="F10" s="10">
        <v>45160</v>
      </c>
      <c r="G10" s="8">
        <v>3500</v>
      </c>
      <c r="H10" s="8" t="s">
        <v>24</v>
      </c>
      <c r="I10" s="10"/>
      <c r="J10" s="8"/>
      <c r="K10" s="8"/>
    </row>
    <row r="11" ht="28.8" spans="1:11">
      <c r="A11" s="8">
        <v>110</v>
      </c>
      <c r="B11" s="8" t="s">
        <v>33</v>
      </c>
      <c r="C11" s="8" t="s">
        <v>13</v>
      </c>
      <c r="D11" s="8" t="s">
        <v>34</v>
      </c>
      <c r="E11" s="8">
        <v>32000</v>
      </c>
      <c r="F11" s="10">
        <v>45174</v>
      </c>
      <c r="G11" s="8"/>
      <c r="H11" s="8" t="s">
        <v>15</v>
      </c>
      <c r="I11" s="10"/>
      <c r="J11" s="8"/>
      <c r="K11" s="8"/>
    </row>
    <row r="12" ht="28.8" spans="1:11">
      <c r="A12" s="8">
        <v>111</v>
      </c>
      <c r="B12" s="8" t="s">
        <v>35</v>
      </c>
      <c r="C12" s="8" t="s">
        <v>17</v>
      </c>
      <c r="D12" s="8" t="s">
        <v>36</v>
      </c>
      <c r="E12" s="8">
        <v>29000</v>
      </c>
      <c r="F12" s="10">
        <v>45179</v>
      </c>
      <c r="G12" s="8">
        <v>2100</v>
      </c>
      <c r="H12" s="8"/>
      <c r="I12" s="10"/>
      <c r="J12" s="8"/>
      <c r="K12" s="8"/>
    </row>
    <row r="13" ht="28.8" spans="1:11">
      <c r="A13" s="8">
        <v>112</v>
      </c>
      <c r="B13" s="8" t="s">
        <v>37</v>
      </c>
      <c r="C13" s="8" t="s">
        <v>9</v>
      </c>
      <c r="D13" s="8" t="s">
        <v>38</v>
      </c>
      <c r="E13" s="8">
        <v>27000</v>
      </c>
      <c r="F13" s="10">
        <v>45217</v>
      </c>
      <c r="G13" s="8">
        <v>2000</v>
      </c>
      <c r="H13" s="8" t="s">
        <v>11</v>
      </c>
      <c r="I13" s="10"/>
      <c r="J13" s="8"/>
      <c r="K13" s="8"/>
    </row>
    <row r="14" ht="28.8" spans="1:11">
      <c r="A14" s="8">
        <v>113</v>
      </c>
      <c r="B14" s="8" t="s">
        <v>39</v>
      </c>
      <c r="C14" s="8" t="s">
        <v>22</v>
      </c>
      <c r="D14" s="8" t="s">
        <v>40</v>
      </c>
      <c r="E14" s="8">
        <v>42000</v>
      </c>
      <c r="F14" s="10">
        <v>45221</v>
      </c>
      <c r="G14" s="8">
        <v>4500</v>
      </c>
      <c r="H14" s="8" t="s">
        <v>24</v>
      </c>
      <c r="I14" s="10"/>
      <c r="J14" s="8"/>
      <c r="K14" s="8"/>
    </row>
    <row r="15" ht="28.8" spans="1:11">
      <c r="A15" s="8">
        <v>114</v>
      </c>
      <c r="B15" s="8" t="s">
        <v>41</v>
      </c>
      <c r="C15" s="8" t="s">
        <v>13</v>
      </c>
      <c r="D15" s="8" t="s">
        <v>42</v>
      </c>
      <c r="E15" s="8"/>
      <c r="F15" s="10">
        <v>45260</v>
      </c>
      <c r="G15" s="8">
        <v>1700</v>
      </c>
      <c r="H15" s="8" t="s">
        <v>15</v>
      </c>
      <c r="I15" s="10"/>
      <c r="J15" s="8"/>
      <c r="K15" s="8"/>
    </row>
    <row r="16" ht="28.8" spans="1:11">
      <c r="A16" s="8">
        <v>115</v>
      </c>
      <c r="B16" s="8" t="s">
        <v>43</v>
      </c>
      <c r="C16" s="8" t="s">
        <v>17</v>
      </c>
      <c r="D16" s="8" t="s">
        <v>44</v>
      </c>
      <c r="E16" s="8">
        <v>26000</v>
      </c>
      <c r="F16" s="10">
        <v>45275</v>
      </c>
      <c r="G16" s="8"/>
      <c r="H16" s="8" t="s">
        <v>11</v>
      </c>
      <c r="I16" s="10"/>
      <c r="J16" s="8"/>
      <c r="K16" s="8"/>
    </row>
    <row r="17" ht="28.8" spans="1:8">
      <c r="A17" s="8">
        <v>116</v>
      </c>
      <c r="B17" s="8" t="s">
        <v>45</v>
      </c>
      <c r="C17" s="8" t="s">
        <v>9</v>
      </c>
      <c r="D17" s="8" t="s">
        <v>46</v>
      </c>
      <c r="E17" s="8">
        <v>28000</v>
      </c>
      <c r="F17" s="10">
        <v>45296</v>
      </c>
      <c r="G17" s="8">
        <v>1900</v>
      </c>
      <c r="H17" s="8" t="s">
        <v>24</v>
      </c>
    </row>
    <row r="18" ht="28.8" spans="1:8">
      <c r="A18" s="8">
        <v>117</v>
      </c>
      <c r="B18" s="8" t="s">
        <v>47</v>
      </c>
      <c r="C18" s="8" t="s">
        <v>22</v>
      </c>
      <c r="D18" s="8" t="s">
        <v>48</v>
      </c>
      <c r="E18" s="8">
        <v>39000</v>
      </c>
      <c r="F18" s="10">
        <v>45303</v>
      </c>
      <c r="G18" s="8">
        <v>3600</v>
      </c>
      <c r="H18" s="8" t="s">
        <v>24</v>
      </c>
    </row>
    <row r="19" ht="28.8" spans="1:8">
      <c r="A19" s="8">
        <v>118</v>
      </c>
      <c r="B19" s="8" t="s">
        <v>49</v>
      </c>
      <c r="C19" s="8" t="s">
        <v>13</v>
      </c>
      <c r="D19" s="8" t="s">
        <v>50</v>
      </c>
      <c r="E19" s="8">
        <v>31000</v>
      </c>
      <c r="F19" s="10">
        <v>45316</v>
      </c>
      <c r="G19" s="8"/>
      <c r="H19" s="8" t="s">
        <v>15</v>
      </c>
    </row>
    <row r="20" ht="28.8" spans="1:8">
      <c r="A20" s="8">
        <v>119</v>
      </c>
      <c r="B20" s="8" t="s">
        <v>51</v>
      </c>
      <c r="C20" s="8" t="s">
        <v>17</v>
      </c>
      <c r="D20" s="8" t="s">
        <v>52</v>
      </c>
      <c r="E20" s="8">
        <v>27500</v>
      </c>
      <c r="F20" s="10">
        <v>45323</v>
      </c>
      <c r="G20" s="8">
        <v>2000</v>
      </c>
      <c r="H20" s="8" t="s">
        <v>11</v>
      </c>
    </row>
    <row r="21" ht="28.8" spans="1:8">
      <c r="A21" s="8">
        <v>120</v>
      </c>
      <c r="B21" s="8" t="s">
        <v>53</v>
      </c>
      <c r="C21" s="8" t="s">
        <v>9</v>
      </c>
      <c r="D21" s="8" t="s">
        <v>54</v>
      </c>
      <c r="E21" s="8">
        <v>26500</v>
      </c>
      <c r="F21" s="10">
        <v>45332</v>
      </c>
      <c r="G21" s="8">
        <v>1800</v>
      </c>
      <c r="H21" s="8" t="s">
        <v>24</v>
      </c>
    </row>
    <row r="22" ht="28.8" spans="1:8">
      <c r="A22" s="8">
        <v>121</v>
      </c>
      <c r="B22" s="8" t="s">
        <v>55</v>
      </c>
      <c r="C22" s="8" t="s">
        <v>13</v>
      </c>
      <c r="D22" s="8" t="s">
        <v>56</v>
      </c>
      <c r="E22" s="8">
        <v>33000</v>
      </c>
      <c r="F22" s="10">
        <v>45337</v>
      </c>
      <c r="G22" s="8">
        <v>2200</v>
      </c>
      <c r="H22" s="8" t="s">
        <v>15</v>
      </c>
    </row>
    <row r="23" ht="28.8" spans="1:8">
      <c r="A23" s="8">
        <v>122</v>
      </c>
      <c r="B23" s="8" t="s">
        <v>57</v>
      </c>
      <c r="C23" s="8" t="s">
        <v>22</v>
      </c>
      <c r="D23" s="8" t="s">
        <v>58</v>
      </c>
      <c r="E23" s="8"/>
      <c r="F23" s="10">
        <v>45342</v>
      </c>
      <c r="G23" s="8">
        <v>3000</v>
      </c>
      <c r="H23" s="8" t="s">
        <v>24</v>
      </c>
    </row>
    <row r="24" ht="28.8" spans="1:8">
      <c r="A24" s="8">
        <v>123</v>
      </c>
      <c r="B24" s="8" t="s">
        <v>59</v>
      </c>
      <c r="C24" s="8" t="s">
        <v>17</v>
      </c>
      <c r="D24" s="8" t="s">
        <v>60</v>
      </c>
      <c r="E24" s="8">
        <v>29500</v>
      </c>
      <c r="F24" s="10">
        <v>45352</v>
      </c>
      <c r="G24" s="8"/>
      <c r="H24" s="8" t="s">
        <v>11</v>
      </c>
    </row>
    <row r="25" ht="28.8" spans="1:8">
      <c r="A25" s="8">
        <v>124</v>
      </c>
      <c r="B25" s="8" t="s">
        <v>61</v>
      </c>
      <c r="C25" s="8" t="s">
        <v>9</v>
      </c>
      <c r="D25" s="8" t="s">
        <v>62</v>
      </c>
      <c r="E25" s="8">
        <v>28500</v>
      </c>
      <c r="F25" s="10">
        <v>45356</v>
      </c>
      <c r="G25" s="8">
        <v>2100</v>
      </c>
      <c r="H25" s="8" t="s">
        <v>24</v>
      </c>
    </row>
    <row r="26" ht="28.8" spans="1:8">
      <c r="A26" s="8">
        <v>125</v>
      </c>
      <c r="B26" s="8" t="s">
        <v>63</v>
      </c>
      <c r="C26" s="8" t="s">
        <v>13</v>
      </c>
      <c r="D26" s="8" t="s">
        <v>64</v>
      </c>
      <c r="E26" s="8">
        <v>34000</v>
      </c>
      <c r="F26" s="10">
        <v>45361</v>
      </c>
      <c r="G26" s="8"/>
      <c r="H26" s="8" t="s">
        <v>15</v>
      </c>
    </row>
    <row r="27" ht="28.8" spans="1:8">
      <c r="A27" s="8">
        <v>126</v>
      </c>
      <c r="B27" s="8" t="s">
        <v>65</v>
      </c>
      <c r="C27" s="8" t="s">
        <v>22</v>
      </c>
      <c r="D27" s="8" t="s">
        <v>66</v>
      </c>
      <c r="E27" s="8">
        <v>41000</v>
      </c>
      <c r="F27" s="10">
        <v>45366</v>
      </c>
      <c r="G27" s="8">
        <v>3800</v>
      </c>
      <c r="H27" s="8" t="s">
        <v>24</v>
      </c>
    </row>
    <row r="28" ht="28.8" spans="1:8">
      <c r="A28" s="8">
        <v>127</v>
      </c>
      <c r="B28" s="8" t="s">
        <v>67</v>
      </c>
      <c r="C28" s="8" t="s">
        <v>17</v>
      </c>
      <c r="D28" s="8" t="s">
        <v>68</v>
      </c>
      <c r="E28" s="8">
        <v>26500</v>
      </c>
      <c r="F28" s="10">
        <v>45371</v>
      </c>
      <c r="G28" s="8"/>
      <c r="H28" s="8" t="s">
        <v>11</v>
      </c>
    </row>
    <row r="29" ht="28.8" spans="1:8">
      <c r="A29" s="8">
        <v>128</v>
      </c>
      <c r="B29" s="8" t="s">
        <v>69</v>
      </c>
      <c r="C29" s="8" t="s">
        <v>9</v>
      </c>
      <c r="D29" s="8" t="s">
        <v>70</v>
      </c>
      <c r="E29" s="8"/>
      <c r="F29" s="10">
        <v>45376</v>
      </c>
      <c r="G29" s="8">
        <v>1900</v>
      </c>
      <c r="H29" s="8" t="s">
        <v>24</v>
      </c>
    </row>
    <row r="30" ht="28.8" spans="1:8">
      <c r="A30" s="8">
        <v>129</v>
      </c>
      <c r="B30" s="8" t="s">
        <v>71</v>
      </c>
      <c r="C30" s="8" t="s">
        <v>13</v>
      </c>
      <c r="D30" s="8" t="s">
        <v>72</v>
      </c>
      <c r="E30" s="8">
        <v>36000</v>
      </c>
      <c r="F30" s="10">
        <v>45383</v>
      </c>
      <c r="G30" s="8"/>
      <c r="H30" s="8" t="s">
        <v>15</v>
      </c>
    </row>
    <row r="31" ht="28.8" spans="1:8">
      <c r="A31" s="8">
        <v>130</v>
      </c>
      <c r="B31" s="8" t="s">
        <v>73</v>
      </c>
      <c r="C31" s="8" t="s">
        <v>22</v>
      </c>
      <c r="D31" s="8" t="s">
        <v>74</v>
      </c>
      <c r="E31" s="8">
        <v>43000</v>
      </c>
      <c r="F31" s="10">
        <v>45387</v>
      </c>
      <c r="G31" s="8">
        <v>4000</v>
      </c>
      <c r="H31" s="8" t="s">
        <v>24</v>
      </c>
    </row>
    <row r="32" ht="28.8" spans="1:8">
      <c r="A32" s="8">
        <v>131</v>
      </c>
      <c r="B32" s="8" t="s">
        <v>75</v>
      </c>
      <c r="C32" s="8" t="s">
        <v>9</v>
      </c>
      <c r="D32" s="8" t="s">
        <v>10</v>
      </c>
      <c r="E32" s="8">
        <v>25000</v>
      </c>
      <c r="F32" s="10">
        <v>44938</v>
      </c>
      <c r="G32" s="8">
        <v>2000</v>
      </c>
      <c r="H32" s="8" t="s">
        <v>11</v>
      </c>
    </row>
    <row r="33" ht="28.8" spans="1:8">
      <c r="A33" s="8">
        <v>132</v>
      </c>
      <c r="B33" s="8" t="s">
        <v>76</v>
      </c>
      <c r="C33" s="8" t="s">
        <v>13</v>
      </c>
      <c r="D33" s="8" t="s">
        <v>14</v>
      </c>
      <c r="E33" s="8">
        <v>30000</v>
      </c>
      <c r="F33" s="10">
        <v>44972</v>
      </c>
      <c r="G33" s="8"/>
      <c r="H33" s="8" t="s">
        <v>15</v>
      </c>
    </row>
    <row r="34" ht="28.8" spans="1:8">
      <c r="A34" s="8">
        <v>133</v>
      </c>
      <c r="B34" s="8" t="s">
        <v>16</v>
      </c>
      <c r="C34" s="8" t="s">
        <v>17</v>
      </c>
      <c r="D34" s="8" t="s">
        <v>18</v>
      </c>
      <c r="E34" s="8">
        <v>28000</v>
      </c>
      <c r="F34" s="10">
        <v>45003</v>
      </c>
      <c r="G34" s="8">
        <v>2500</v>
      </c>
      <c r="H34" s="8" t="s">
        <v>11</v>
      </c>
    </row>
    <row r="35" ht="28.8" spans="1:8">
      <c r="A35" s="8">
        <v>134</v>
      </c>
      <c r="B35" s="8" t="s">
        <v>77</v>
      </c>
      <c r="C35" s="8" t="s">
        <v>13</v>
      </c>
      <c r="D35" s="8" t="s">
        <v>20</v>
      </c>
      <c r="E35" s="8">
        <v>35000</v>
      </c>
      <c r="F35" s="10">
        <v>45037</v>
      </c>
      <c r="G35" s="8">
        <v>3000</v>
      </c>
      <c r="H35" s="8"/>
    </row>
    <row r="36" ht="28.8" spans="1:8">
      <c r="A36" s="8">
        <v>135</v>
      </c>
      <c r="B36" s="8" t="s">
        <v>78</v>
      </c>
      <c r="C36" s="8" t="s">
        <v>22</v>
      </c>
      <c r="D36" s="8" t="s">
        <v>23</v>
      </c>
      <c r="E36" s="8">
        <v>40000</v>
      </c>
      <c r="F36" s="10">
        <v>45071</v>
      </c>
      <c r="G36" s="8">
        <v>4000</v>
      </c>
      <c r="H36" s="8" t="s">
        <v>24</v>
      </c>
    </row>
    <row r="37" ht="28.8" spans="1:8">
      <c r="A37" s="8">
        <v>136</v>
      </c>
      <c r="B37" s="8" t="s">
        <v>79</v>
      </c>
      <c r="C37" s="8" t="s">
        <v>13</v>
      </c>
      <c r="D37" s="8" t="s">
        <v>26</v>
      </c>
      <c r="E37" s="8"/>
      <c r="F37" s="10">
        <v>45078</v>
      </c>
      <c r="G37" s="8">
        <v>1500</v>
      </c>
      <c r="H37" s="8" t="s">
        <v>15</v>
      </c>
    </row>
    <row r="38" ht="28.8" spans="1:8">
      <c r="A38" s="8">
        <v>137</v>
      </c>
      <c r="B38" s="8" t="s">
        <v>80</v>
      </c>
      <c r="C38" s="8" t="s">
        <v>17</v>
      </c>
      <c r="D38" s="8" t="s">
        <v>28</v>
      </c>
      <c r="E38" s="8">
        <v>27000</v>
      </c>
      <c r="F38" s="10">
        <v>45088</v>
      </c>
      <c r="G38" s="8"/>
      <c r="H38" s="8" t="s">
        <v>11</v>
      </c>
    </row>
    <row r="39" ht="28.8" spans="1:8">
      <c r="A39" s="8">
        <v>138</v>
      </c>
      <c r="B39" s="8" t="s">
        <v>81</v>
      </c>
      <c r="C39" s="8" t="s">
        <v>9</v>
      </c>
      <c r="D39" s="8" t="s">
        <v>30</v>
      </c>
      <c r="E39" s="8">
        <v>26000</v>
      </c>
      <c r="F39" s="10">
        <v>45126</v>
      </c>
      <c r="G39" s="8">
        <v>1800</v>
      </c>
      <c r="H39" s="8" t="s">
        <v>24</v>
      </c>
    </row>
    <row r="40" ht="28.8" spans="1:8">
      <c r="A40" s="8">
        <v>139</v>
      </c>
      <c r="B40" s="8" t="s">
        <v>82</v>
      </c>
      <c r="C40" s="8" t="s">
        <v>22</v>
      </c>
      <c r="D40" s="8" t="s">
        <v>32</v>
      </c>
      <c r="E40" s="8">
        <v>38000</v>
      </c>
      <c r="F40" s="10">
        <v>45160</v>
      </c>
      <c r="G40" s="8">
        <v>3500</v>
      </c>
      <c r="H40" s="8" t="s">
        <v>24</v>
      </c>
    </row>
    <row r="41" ht="28.8" spans="1:8">
      <c r="A41" s="8">
        <v>140</v>
      </c>
      <c r="B41" s="8" t="s">
        <v>83</v>
      </c>
      <c r="C41" s="8" t="s">
        <v>13</v>
      </c>
      <c r="D41" s="8" t="s">
        <v>34</v>
      </c>
      <c r="E41" s="8">
        <v>32000</v>
      </c>
      <c r="F41" s="10">
        <v>45174</v>
      </c>
      <c r="G41" s="8"/>
      <c r="H41" s="8" t="s">
        <v>15</v>
      </c>
    </row>
    <row r="42" ht="28.8" spans="1:8">
      <c r="A42" s="8">
        <v>141</v>
      </c>
      <c r="B42" s="8" t="s">
        <v>84</v>
      </c>
      <c r="C42" s="8" t="s">
        <v>9</v>
      </c>
      <c r="D42" s="8" t="s">
        <v>85</v>
      </c>
      <c r="E42" s="8">
        <v>27000</v>
      </c>
      <c r="F42" s="10">
        <v>45392</v>
      </c>
      <c r="G42" s="8">
        <v>2000</v>
      </c>
      <c r="H42" s="8" t="s">
        <v>24</v>
      </c>
    </row>
    <row r="43" ht="28.8" spans="1:8">
      <c r="A43" s="8">
        <v>142</v>
      </c>
      <c r="B43" s="8" t="s">
        <v>86</v>
      </c>
      <c r="C43" s="8" t="s">
        <v>13</v>
      </c>
      <c r="D43" s="8" t="s">
        <v>87</v>
      </c>
      <c r="E43" s="8"/>
      <c r="F43" s="10">
        <v>45394</v>
      </c>
      <c r="G43" s="8"/>
      <c r="H43" s="8" t="s">
        <v>15</v>
      </c>
    </row>
    <row r="44" ht="28.8" spans="1:8">
      <c r="A44" s="8">
        <v>143</v>
      </c>
      <c r="B44" s="8" t="s">
        <v>88</v>
      </c>
      <c r="C44" s="8" t="s">
        <v>17</v>
      </c>
      <c r="D44" s="8" t="s">
        <v>89</v>
      </c>
      <c r="E44" s="8">
        <v>28500</v>
      </c>
      <c r="F44" s="10">
        <v>45397</v>
      </c>
      <c r="G44" s="8">
        <v>2200</v>
      </c>
      <c r="H44" s="8" t="s">
        <v>11</v>
      </c>
    </row>
    <row r="45" ht="28.8" spans="1:8">
      <c r="A45" s="8">
        <v>144</v>
      </c>
      <c r="B45" s="8" t="s">
        <v>90</v>
      </c>
      <c r="C45" s="8" t="s">
        <v>22</v>
      </c>
      <c r="D45" s="8" t="s">
        <v>91</v>
      </c>
      <c r="E45" s="8">
        <v>39500</v>
      </c>
      <c r="F45" s="10">
        <v>45400</v>
      </c>
      <c r="G45" s="8"/>
      <c r="H45" s="8" t="s">
        <v>24</v>
      </c>
    </row>
    <row r="46" ht="28.8" spans="1:8">
      <c r="A46" s="8">
        <v>145</v>
      </c>
      <c r="B46" s="8" t="s">
        <v>92</v>
      </c>
      <c r="C46" s="8" t="s">
        <v>9</v>
      </c>
      <c r="D46" s="8" t="s">
        <v>93</v>
      </c>
      <c r="E46" s="8">
        <v>26000</v>
      </c>
      <c r="F46" s="10">
        <v>45402</v>
      </c>
      <c r="G46" s="8">
        <v>1800</v>
      </c>
      <c r="H46" s="8" t="s">
        <v>24</v>
      </c>
    </row>
    <row r="47" ht="28.8" spans="1:8">
      <c r="A47" s="8">
        <v>146</v>
      </c>
      <c r="B47" s="8" t="s">
        <v>94</v>
      </c>
      <c r="C47" s="8" t="s">
        <v>13</v>
      </c>
      <c r="D47" s="8" t="s">
        <v>95</v>
      </c>
      <c r="E47" s="8">
        <v>34500</v>
      </c>
      <c r="F47" s="10">
        <v>45404</v>
      </c>
      <c r="G47" s="8"/>
      <c r="H47" s="8" t="s">
        <v>15</v>
      </c>
    </row>
    <row r="48" ht="28.8" spans="1:8">
      <c r="A48" s="8">
        <v>147</v>
      </c>
      <c r="B48" s="8" t="s">
        <v>96</v>
      </c>
      <c r="C48" s="8" t="s">
        <v>17</v>
      </c>
      <c r="D48" s="8" t="s">
        <v>97</v>
      </c>
      <c r="E48" s="8"/>
      <c r="F48" s="10">
        <v>45407</v>
      </c>
      <c r="G48" s="8">
        <v>2100</v>
      </c>
      <c r="H48" s="8" t="s">
        <v>11</v>
      </c>
    </row>
    <row r="49" ht="28.8" spans="1:8">
      <c r="A49" s="8">
        <v>148</v>
      </c>
      <c r="B49" s="8" t="s">
        <v>98</v>
      </c>
      <c r="C49" s="8" t="s">
        <v>22</v>
      </c>
      <c r="D49" s="8" t="s">
        <v>99</v>
      </c>
      <c r="E49" s="8">
        <v>40500</v>
      </c>
      <c r="F49" s="10">
        <v>45410</v>
      </c>
      <c r="G49" s="8">
        <v>3500</v>
      </c>
      <c r="H49" s="8" t="s">
        <v>24</v>
      </c>
    </row>
    <row r="50" ht="28.8" spans="1:8">
      <c r="A50" s="8">
        <v>149</v>
      </c>
      <c r="B50" s="8" t="s">
        <v>100</v>
      </c>
      <c r="C50" s="8" t="s">
        <v>9</v>
      </c>
      <c r="D50" s="8" t="s">
        <v>101</v>
      </c>
      <c r="E50" s="8">
        <v>25500</v>
      </c>
      <c r="F50" s="10">
        <v>45413</v>
      </c>
      <c r="G50" s="8"/>
      <c r="H50" s="8" t="s">
        <v>24</v>
      </c>
    </row>
    <row r="51" ht="28.8" spans="1:8">
      <c r="A51" s="8">
        <v>150</v>
      </c>
      <c r="B51" s="8" t="s">
        <v>102</v>
      </c>
      <c r="C51" s="8" t="s">
        <v>13</v>
      </c>
      <c r="D51" s="8" t="s">
        <v>103</v>
      </c>
      <c r="E51" s="8">
        <v>31500</v>
      </c>
      <c r="F51" s="10">
        <v>45417</v>
      </c>
      <c r="G51" s="8">
        <v>2000</v>
      </c>
      <c r="H51" s="8" t="s">
        <v>15</v>
      </c>
    </row>
    <row r="52" ht="28.8" spans="1:8">
      <c r="A52" s="8">
        <v>201</v>
      </c>
      <c r="B52" s="8" t="s">
        <v>104</v>
      </c>
      <c r="C52" s="8" t="s">
        <v>13</v>
      </c>
      <c r="D52" s="8" t="s">
        <v>105</v>
      </c>
      <c r="E52" s="8">
        <v>32000</v>
      </c>
      <c r="F52" s="10">
        <v>44927</v>
      </c>
      <c r="G52" s="8">
        <v>2000</v>
      </c>
      <c r="H52" s="8" t="s">
        <v>15</v>
      </c>
    </row>
    <row r="53" ht="28.8" spans="1:8">
      <c r="A53" s="8">
        <v>202</v>
      </c>
      <c r="B53" s="8" t="s">
        <v>106</v>
      </c>
      <c r="C53" s="8" t="s">
        <v>9</v>
      </c>
      <c r="D53" s="8" t="s">
        <v>42</v>
      </c>
      <c r="E53" s="8">
        <v>28000</v>
      </c>
      <c r="F53" s="10">
        <v>44929</v>
      </c>
      <c r="G53" s="8"/>
      <c r="H53" s="8" t="s">
        <v>24</v>
      </c>
    </row>
    <row r="54" ht="28.8" spans="1:8">
      <c r="A54" s="8">
        <v>203</v>
      </c>
      <c r="B54" s="8" t="s">
        <v>107</v>
      </c>
      <c r="C54" s="8" t="s">
        <v>17</v>
      </c>
      <c r="D54" s="8" t="s">
        <v>108</v>
      </c>
      <c r="E54" s="8">
        <v>30000</v>
      </c>
      <c r="F54" s="10">
        <v>44931</v>
      </c>
      <c r="G54" s="8">
        <v>1800</v>
      </c>
      <c r="H54" s="8" t="s">
        <v>11</v>
      </c>
    </row>
    <row r="55" ht="28.8" spans="1:8">
      <c r="A55" s="8">
        <v>204</v>
      </c>
      <c r="B55" s="8" t="s">
        <v>109</v>
      </c>
      <c r="C55" s="8" t="s">
        <v>22</v>
      </c>
      <c r="D55" s="8" t="s">
        <v>110</v>
      </c>
      <c r="E55" s="8">
        <v>42000</v>
      </c>
      <c r="F55" s="10">
        <v>44933</v>
      </c>
      <c r="G55" s="8">
        <v>3500</v>
      </c>
      <c r="H55" s="8" t="s">
        <v>24</v>
      </c>
    </row>
    <row r="56" ht="28.8" spans="1:8">
      <c r="A56" s="8">
        <v>205</v>
      </c>
      <c r="B56" s="8" t="s">
        <v>111</v>
      </c>
      <c r="C56" s="8" t="s">
        <v>13</v>
      </c>
      <c r="D56" s="8" t="s">
        <v>112</v>
      </c>
      <c r="E56" s="8"/>
      <c r="F56" s="10">
        <v>44936</v>
      </c>
      <c r="G56" s="8">
        <v>2200</v>
      </c>
      <c r="H56" s="8" t="s">
        <v>15</v>
      </c>
    </row>
    <row r="57" ht="28.8" spans="1:8">
      <c r="A57" s="8">
        <v>206</v>
      </c>
      <c r="B57" s="8" t="s">
        <v>113</v>
      </c>
      <c r="C57" s="8" t="s">
        <v>9</v>
      </c>
      <c r="D57" s="8" t="s">
        <v>46</v>
      </c>
      <c r="E57" s="8">
        <v>29000</v>
      </c>
      <c r="F57" s="10">
        <v>44938</v>
      </c>
      <c r="G57" s="8"/>
      <c r="H57" s="8" t="s">
        <v>24</v>
      </c>
    </row>
    <row r="58" ht="28.8" spans="1:8">
      <c r="A58" s="8">
        <v>207</v>
      </c>
      <c r="B58" s="8" t="s">
        <v>114</v>
      </c>
      <c r="C58" s="8" t="s">
        <v>17</v>
      </c>
      <c r="D58" s="8" t="s">
        <v>115</v>
      </c>
      <c r="E58" s="8">
        <v>31000</v>
      </c>
      <c r="F58" s="10">
        <v>44941</v>
      </c>
      <c r="G58" s="8">
        <v>2000</v>
      </c>
      <c r="H58" s="8" t="s">
        <v>11</v>
      </c>
    </row>
    <row r="59" ht="28.8" spans="1:8">
      <c r="A59" s="8">
        <v>208</v>
      </c>
      <c r="B59" s="8" t="s">
        <v>116</v>
      </c>
      <c r="C59" s="8" t="s">
        <v>13</v>
      </c>
      <c r="D59" s="8" t="s">
        <v>34</v>
      </c>
      <c r="E59" s="8">
        <v>34000</v>
      </c>
      <c r="F59" s="10">
        <v>44944</v>
      </c>
      <c r="G59" s="8"/>
      <c r="H59" s="8" t="s">
        <v>15</v>
      </c>
    </row>
    <row r="60" ht="28.8" spans="1:8">
      <c r="A60" s="8">
        <v>209</v>
      </c>
      <c r="B60" s="8" t="s">
        <v>117</v>
      </c>
      <c r="C60" s="8" t="s">
        <v>22</v>
      </c>
      <c r="D60" s="8" t="s">
        <v>44</v>
      </c>
      <c r="E60" s="8">
        <v>39000</v>
      </c>
      <c r="F60" s="10">
        <v>44946</v>
      </c>
      <c r="G60" s="8">
        <v>3000</v>
      </c>
      <c r="H60" s="8" t="s">
        <v>24</v>
      </c>
    </row>
    <row r="61" ht="28.8" spans="1:8">
      <c r="A61" s="8">
        <v>210</v>
      </c>
      <c r="B61" s="8" t="s">
        <v>118</v>
      </c>
      <c r="C61" s="8" t="s">
        <v>9</v>
      </c>
      <c r="D61" s="8" t="s">
        <v>119</v>
      </c>
      <c r="E61" s="8">
        <v>27000</v>
      </c>
      <c r="F61" s="10">
        <v>44948</v>
      </c>
      <c r="G61" s="8">
        <v>1500</v>
      </c>
      <c r="H61" s="8"/>
    </row>
    <row r="62" ht="28.8" spans="1:8">
      <c r="A62" s="8">
        <v>211</v>
      </c>
      <c r="B62" s="8" t="s">
        <v>120</v>
      </c>
      <c r="C62" s="8" t="s">
        <v>13</v>
      </c>
      <c r="D62" s="8" t="s">
        <v>121</v>
      </c>
      <c r="E62" s="8">
        <v>36000</v>
      </c>
      <c r="F62" s="10">
        <v>44951</v>
      </c>
      <c r="G62" s="8"/>
      <c r="H62" s="8" t="s">
        <v>15</v>
      </c>
    </row>
    <row r="63" ht="28.8" spans="1:8">
      <c r="A63" s="8">
        <v>212</v>
      </c>
      <c r="B63" s="8" t="s">
        <v>122</v>
      </c>
      <c r="C63" s="8" t="s">
        <v>17</v>
      </c>
      <c r="D63" s="8" t="s">
        <v>70</v>
      </c>
      <c r="E63" s="8"/>
      <c r="F63" s="10">
        <v>44954</v>
      </c>
      <c r="G63" s="8">
        <v>2100</v>
      </c>
      <c r="H63" s="8" t="s">
        <v>11</v>
      </c>
    </row>
    <row r="64" ht="28.8" spans="1:8">
      <c r="A64" s="8">
        <v>213</v>
      </c>
      <c r="B64" s="8" t="s">
        <v>123</v>
      </c>
      <c r="C64" s="8" t="s">
        <v>22</v>
      </c>
      <c r="D64" s="8" t="s">
        <v>62</v>
      </c>
      <c r="E64" s="8">
        <v>41000</v>
      </c>
      <c r="F64" s="10">
        <v>44958</v>
      </c>
      <c r="G64" s="8"/>
      <c r="H64" s="8" t="s">
        <v>24</v>
      </c>
    </row>
    <row r="65" ht="28.8" spans="1:8">
      <c r="A65" s="8">
        <v>214</v>
      </c>
      <c r="B65" s="8" t="s">
        <v>124</v>
      </c>
      <c r="C65" s="8" t="s">
        <v>9</v>
      </c>
      <c r="D65" s="8" t="s">
        <v>60</v>
      </c>
      <c r="E65" s="8">
        <v>28000</v>
      </c>
      <c r="F65" s="10">
        <v>44961</v>
      </c>
      <c r="G65" s="8">
        <v>1700</v>
      </c>
      <c r="H65" s="8" t="s">
        <v>24</v>
      </c>
    </row>
    <row r="66" ht="28.8" spans="1:8">
      <c r="A66" s="8">
        <v>215</v>
      </c>
      <c r="B66" s="8" t="s">
        <v>125</v>
      </c>
      <c r="C66" s="8" t="s">
        <v>13</v>
      </c>
      <c r="D66" s="8" t="s">
        <v>126</v>
      </c>
      <c r="E66" s="8">
        <v>33000</v>
      </c>
      <c r="F66" s="10">
        <v>44964</v>
      </c>
      <c r="G66" s="8"/>
      <c r="H66" s="8" t="s">
        <v>15</v>
      </c>
    </row>
    <row r="67" ht="28.8" spans="1:8">
      <c r="A67" s="8">
        <v>216</v>
      </c>
      <c r="B67" s="8" t="s">
        <v>127</v>
      </c>
      <c r="C67" s="8" t="s">
        <v>17</v>
      </c>
      <c r="D67" s="8" t="s">
        <v>64</v>
      </c>
      <c r="E67" s="8">
        <v>30500</v>
      </c>
      <c r="F67" s="10">
        <v>44967</v>
      </c>
      <c r="G67" s="8">
        <v>2000</v>
      </c>
      <c r="H67" s="8" t="s">
        <v>11</v>
      </c>
    </row>
    <row r="68" ht="28.8" spans="1:8">
      <c r="A68" s="8">
        <v>217</v>
      </c>
      <c r="B68" s="8" t="s">
        <v>128</v>
      </c>
      <c r="C68" s="8" t="s">
        <v>22</v>
      </c>
      <c r="D68" s="8" t="s">
        <v>129</v>
      </c>
      <c r="E68" s="8"/>
      <c r="F68" s="10">
        <v>44969</v>
      </c>
      <c r="G68" s="8">
        <v>2500</v>
      </c>
      <c r="H68" s="8" t="s">
        <v>24</v>
      </c>
    </row>
    <row r="69" ht="28.8" spans="1:8">
      <c r="A69" s="8">
        <v>218</v>
      </c>
      <c r="B69" s="8" t="s">
        <v>130</v>
      </c>
      <c r="C69" s="8" t="s">
        <v>9</v>
      </c>
      <c r="D69" s="8" t="s">
        <v>50</v>
      </c>
      <c r="E69" s="8">
        <v>29500</v>
      </c>
      <c r="F69" s="10">
        <v>44972</v>
      </c>
      <c r="G69" s="8"/>
      <c r="H69" s="8" t="s">
        <v>24</v>
      </c>
    </row>
    <row r="70" ht="28.8" spans="1:8">
      <c r="A70" s="8">
        <v>219</v>
      </c>
      <c r="B70" s="8" t="s">
        <v>131</v>
      </c>
      <c r="C70" s="8" t="s">
        <v>13</v>
      </c>
      <c r="D70" s="8" t="s">
        <v>132</v>
      </c>
      <c r="E70" s="8">
        <v>35000</v>
      </c>
      <c r="F70" s="10">
        <v>44975</v>
      </c>
      <c r="G70" s="8">
        <v>2300</v>
      </c>
      <c r="H70" s="8" t="s">
        <v>15</v>
      </c>
    </row>
    <row r="71" ht="28.8" spans="1:8">
      <c r="A71" s="8">
        <v>220</v>
      </c>
      <c r="B71" s="8" t="s">
        <v>133</v>
      </c>
      <c r="C71" s="8" t="s">
        <v>17</v>
      </c>
      <c r="D71" s="8" t="s">
        <v>134</v>
      </c>
      <c r="E71" s="8">
        <v>31000</v>
      </c>
      <c r="F71" s="10">
        <v>44977</v>
      </c>
      <c r="G71" s="8"/>
      <c r="H71" s="8" t="s">
        <v>11</v>
      </c>
    </row>
    <row r="72" ht="28.8" spans="1:8">
      <c r="A72" s="8">
        <v>221</v>
      </c>
      <c r="B72" s="8" t="s">
        <v>104</v>
      </c>
      <c r="C72" s="8" t="s">
        <v>13</v>
      </c>
      <c r="D72" s="8" t="s">
        <v>105</v>
      </c>
      <c r="E72" s="8">
        <v>32000</v>
      </c>
      <c r="F72" s="10">
        <v>44927</v>
      </c>
      <c r="G72" s="8">
        <v>2000</v>
      </c>
      <c r="H72" s="8" t="s">
        <v>15</v>
      </c>
    </row>
    <row r="73" ht="28.8" spans="1:8">
      <c r="A73" s="8">
        <v>222</v>
      </c>
      <c r="B73" s="8" t="s">
        <v>106</v>
      </c>
      <c r="C73" s="8" t="s">
        <v>9</v>
      </c>
      <c r="D73" s="8"/>
      <c r="E73" s="8">
        <v>28000</v>
      </c>
      <c r="F73" s="10">
        <v>44929</v>
      </c>
      <c r="G73" s="8"/>
      <c r="H73" s="8" t="s">
        <v>24</v>
      </c>
    </row>
    <row r="74" ht="28.8" spans="1:8">
      <c r="A74" s="8">
        <v>223</v>
      </c>
      <c r="B74" s="8" t="s">
        <v>107</v>
      </c>
      <c r="C74" s="8" t="s">
        <v>17</v>
      </c>
      <c r="D74" s="8" t="s">
        <v>108</v>
      </c>
      <c r="E74" s="8"/>
      <c r="F74" s="10">
        <v>44931</v>
      </c>
      <c r="G74" s="8">
        <v>1800</v>
      </c>
      <c r="H74" s="8" t="s">
        <v>11</v>
      </c>
    </row>
    <row r="75" ht="28.8" spans="1:8">
      <c r="A75" s="8">
        <v>224</v>
      </c>
      <c r="B75" s="8" t="s">
        <v>109</v>
      </c>
      <c r="C75" s="8" t="s">
        <v>22</v>
      </c>
      <c r="D75" s="8" t="s">
        <v>110</v>
      </c>
      <c r="E75" s="8">
        <v>42000</v>
      </c>
      <c r="F75" s="10">
        <v>44933</v>
      </c>
      <c r="G75" s="8"/>
      <c r="H75" s="8" t="s">
        <v>24</v>
      </c>
    </row>
    <row r="76" ht="28.8" spans="1:8">
      <c r="A76" s="8">
        <v>225</v>
      </c>
      <c r="B76" s="8" t="s">
        <v>111</v>
      </c>
      <c r="C76" s="8" t="s">
        <v>13</v>
      </c>
      <c r="D76" s="8" t="s">
        <v>112</v>
      </c>
      <c r="E76" s="8">
        <v>30000</v>
      </c>
      <c r="F76" s="10">
        <v>44936</v>
      </c>
      <c r="G76" s="8">
        <v>2200</v>
      </c>
      <c r="H76" s="8" t="s">
        <v>15</v>
      </c>
    </row>
    <row r="77" ht="28.8" spans="1:8">
      <c r="A77" s="8">
        <v>226</v>
      </c>
      <c r="B77" s="8" t="s">
        <v>113</v>
      </c>
      <c r="C77" s="8" t="s">
        <v>9</v>
      </c>
      <c r="D77" s="8" t="s">
        <v>46</v>
      </c>
      <c r="E77" s="8"/>
      <c r="F77" s="10">
        <v>44938</v>
      </c>
      <c r="G77" s="8"/>
      <c r="H77" s="8" t="s">
        <v>24</v>
      </c>
    </row>
    <row r="78" ht="28.8" spans="1:8">
      <c r="A78" s="8">
        <v>227</v>
      </c>
      <c r="B78" s="8" t="s">
        <v>114</v>
      </c>
      <c r="C78" s="8" t="s">
        <v>17</v>
      </c>
      <c r="D78" s="8" t="s">
        <v>115</v>
      </c>
      <c r="E78" s="8">
        <v>31000</v>
      </c>
      <c r="F78" s="10">
        <v>44941</v>
      </c>
      <c r="G78" s="8"/>
      <c r="H78" s="8" t="s">
        <v>11</v>
      </c>
    </row>
    <row r="79" ht="28.8" spans="1:8">
      <c r="A79" s="8">
        <v>228</v>
      </c>
      <c r="B79" s="8" t="s">
        <v>116</v>
      </c>
      <c r="C79" s="8" t="s">
        <v>13</v>
      </c>
      <c r="D79" s="8" t="s">
        <v>34</v>
      </c>
      <c r="E79" s="8">
        <v>34000</v>
      </c>
      <c r="F79" s="10">
        <v>44944</v>
      </c>
      <c r="G79" s="8">
        <v>2000</v>
      </c>
      <c r="H79" s="8" t="s">
        <v>15</v>
      </c>
    </row>
    <row r="80" ht="28.8" spans="1:8">
      <c r="A80" s="8">
        <v>229</v>
      </c>
      <c r="B80" s="8" t="s">
        <v>117</v>
      </c>
      <c r="C80" s="8" t="s">
        <v>22</v>
      </c>
      <c r="D80" s="8" t="s">
        <v>44</v>
      </c>
      <c r="E80" s="8"/>
      <c r="F80" s="10">
        <v>44946</v>
      </c>
      <c r="G80" s="8">
        <v>3000</v>
      </c>
      <c r="H80" s="8" t="s">
        <v>24</v>
      </c>
    </row>
    <row r="81" ht="28.8" spans="1:8">
      <c r="A81" s="8">
        <v>230</v>
      </c>
      <c r="B81" s="8" t="s">
        <v>118</v>
      </c>
      <c r="C81" s="8" t="s">
        <v>9</v>
      </c>
      <c r="D81" s="8" t="s">
        <v>119</v>
      </c>
      <c r="E81" s="8">
        <v>27000</v>
      </c>
      <c r="F81" s="10">
        <v>44948</v>
      </c>
      <c r="G81" s="8"/>
      <c r="H81" s="8"/>
    </row>
    <row r="82" ht="28.8" spans="1:8">
      <c r="A82" s="8">
        <v>231</v>
      </c>
      <c r="B82" s="8" t="s">
        <v>135</v>
      </c>
      <c r="C82" s="8" t="s">
        <v>9</v>
      </c>
      <c r="D82" s="8" t="s">
        <v>30</v>
      </c>
      <c r="E82" s="8">
        <v>29000</v>
      </c>
      <c r="F82" s="10">
        <v>44986</v>
      </c>
      <c r="G82" s="8">
        <v>1800</v>
      </c>
      <c r="H82" s="8" t="s">
        <v>24</v>
      </c>
    </row>
    <row r="83" ht="28.8" spans="1:8">
      <c r="A83" s="8">
        <v>232</v>
      </c>
      <c r="B83" s="8" t="s">
        <v>136</v>
      </c>
      <c r="C83" s="8" t="s">
        <v>13</v>
      </c>
      <c r="D83" s="8" t="s">
        <v>137</v>
      </c>
      <c r="E83" s="8">
        <v>36000</v>
      </c>
      <c r="F83" s="10">
        <v>44988</v>
      </c>
      <c r="G83" s="8"/>
      <c r="H83" s="8" t="s">
        <v>15</v>
      </c>
    </row>
    <row r="84" ht="28.8" spans="1:8">
      <c r="A84" s="8">
        <v>233</v>
      </c>
      <c r="B84" s="8" t="s">
        <v>138</v>
      </c>
      <c r="C84" s="8" t="s">
        <v>17</v>
      </c>
      <c r="D84" s="8" t="s">
        <v>139</v>
      </c>
      <c r="E84" s="8">
        <v>31000</v>
      </c>
      <c r="F84" s="10">
        <v>44990</v>
      </c>
      <c r="G84" s="8">
        <v>2000</v>
      </c>
      <c r="H84" s="8" t="s">
        <v>11</v>
      </c>
    </row>
    <row r="85" ht="28.8" spans="1:8">
      <c r="A85" s="8">
        <v>234</v>
      </c>
      <c r="B85" s="8" t="s">
        <v>140</v>
      </c>
      <c r="C85" s="8" t="s">
        <v>22</v>
      </c>
      <c r="D85" s="8" t="s">
        <v>141</v>
      </c>
      <c r="E85" s="8">
        <v>40000</v>
      </c>
      <c r="F85" s="10">
        <v>44992</v>
      </c>
      <c r="G85" s="8"/>
      <c r="H85" s="8" t="s">
        <v>24</v>
      </c>
    </row>
    <row r="86" ht="28.8" spans="1:8">
      <c r="A86" s="8">
        <v>235</v>
      </c>
      <c r="B86" s="8" t="s">
        <v>142</v>
      </c>
      <c r="C86" s="8" t="s">
        <v>13</v>
      </c>
      <c r="D86" s="8" t="s">
        <v>56</v>
      </c>
      <c r="E86" s="8">
        <v>33000</v>
      </c>
      <c r="F86" s="10">
        <v>44995</v>
      </c>
      <c r="G86" s="8">
        <v>2100</v>
      </c>
      <c r="H86" s="8" t="s">
        <v>15</v>
      </c>
    </row>
    <row r="87" ht="28.8" spans="1:8">
      <c r="A87" s="8">
        <v>236</v>
      </c>
      <c r="B87" s="8" t="s">
        <v>143</v>
      </c>
      <c r="C87" s="8" t="s">
        <v>9</v>
      </c>
      <c r="D87" s="8" t="s">
        <v>26</v>
      </c>
      <c r="E87" s="8">
        <v>28000</v>
      </c>
      <c r="F87" s="10">
        <v>44997</v>
      </c>
      <c r="G87" s="8"/>
      <c r="H87" s="8" t="s">
        <v>24</v>
      </c>
    </row>
    <row r="88" ht="28.8" spans="1:8">
      <c r="A88" s="8">
        <v>237</v>
      </c>
      <c r="B88" s="8" t="s">
        <v>144</v>
      </c>
      <c r="C88" s="8" t="s">
        <v>17</v>
      </c>
      <c r="D88" s="8" t="s">
        <v>145</v>
      </c>
      <c r="E88" s="8">
        <v>30500</v>
      </c>
      <c r="F88" s="10">
        <v>45000</v>
      </c>
      <c r="G88" s="8">
        <v>2000</v>
      </c>
      <c r="H88" s="8" t="s">
        <v>11</v>
      </c>
    </row>
    <row r="89" ht="28.8" spans="1:8">
      <c r="A89" s="8">
        <v>238</v>
      </c>
      <c r="B89" s="8" t="s">
        <v>146</v>
      </c>
      <c r="C89" s="8" t="s">
        <v>22</v>
      </c>
      <c r="D89" s="8" t="s">
        <v>147</v>
      </c>
      <c r="E89" s="8">
        <v>39000</v>
      </c>
      <c r="F89" s="10">
        <v>45003</v>
      </c>
      <c r="G89" s="8"/>
      <c r="H89" s="8" t="s">
        <v>24</v>
      </c>
    </row>
    <row r="90" ht="28.8" spans="1:8">
      <c r="A90" s="8">
        <v>239</v>
      </c>
      <c r="B90" s="8" t="s">
        <v>148</v>
      </c>
      <c r="C90" s="8" t="s">
        <v>13</v>
      </c>
      <c r="D90" s="8" t="s">
        <v>85</v>
      </c>
      <c r="E90" s="8">
        <v>35000</v>
      </c>
      <c r="F90" s="10">
        <v>45005</v>
      </c>
      <c r="G90" s="8">
        <v>2200</v>
      </c>
      <c r="H90" s="8" t="s">
        <v>15</v>
      </c>
    </row>
    <row r="91" ht="28.8" spans="1:8">
      <c r="A91" s="8">
        <v>240</v>
      </c>
      <c r="B91" s="8" t="s">
        <v>149</v>
      </c>
      <c r="C91" s="8" t="s">
        <v>9</v>
      </c>
      <c r="D91" s="8" t="s">
        <v>150</v>
      </c>
      <c r="E91" s="8">
        <v>27000</v>
      </c>
      <c r="F91" s="10">
        <v>45007</v>
      </c>
      <c r="G91" s="8"/>
      <c r="H91" s="8" t="s">
        <v>24</v>
      </c>
    </row>
    <row r="92" ht="28.8" spans="1:8">
      <c r="A92" s="8">
        <v>219</v>
      </c>
      <c r="B92" s="8" t="s">
        <v>131</v>
      </c>
      <c r="C92" s="8" t="s">
        <v>13</v>
      </c>
      <c r="D92" s="8" t="s">
        <v>132</v>
      </c>
      <c r="E92" s="8">
        <v>35000</v>
      </c>
      <c r="F92" s="10">
        <v>44975</v>
      </c>
      <c r="G92" s="8">
        <v>2300</v>
      </c>
      <c r="H92" s="8" t="s">
        <v>15</v>
      </c>
    </row>
    <row r="93" ht="28.8" spans="1:8">
      <c r="A93" s="8">
        <v>220</v>
      </c>
      <c r="B93" s="8" t="s">
        <v>133</v>
      </c>
      <c r="C93" s="8" t="s">
        <v>17</v>
      </c>
      <c r="D93" s="8" t="s">
        <v>134</v>
      </c>
      <c r="E93" s="8">
        <v>31000</v>
      </c>
      <c r="F93" s="10">
        <v>44977</v>
      </c>
      <c r="G93" s="8"/>
      <c r="H93" s="8" t="s">
        <v>11</v>
      </c>
    </row>
    <row r="94" ht="28.8" spans="1:8">
      <c r="A94" s="8">
        <v>221</v>
      </c>
      <c r="B94" s="8" t="s">
        <v>104</v>
      </c>
      <c r="C94" s="8" t="s">
        <v>13</v>
      </c>
      <c r="D94" s="8" t="s">
        <v>105</v>
      </c>
      <c r="E94" s="8">
        <v>32000</v>
      </c>
      <c r="F94" s="10">
        <v>44927</v>
      </c>
      <c r="G94" s="8">
        <v>2000</v>
      </c>
      <c r="H94" s="8" t="s">
        <v>15</v>
      </c>
    </row>
    <row r="95" ht="28.8" spans="1:8">
      <c r="A95" s="8">
        <v>222</v>
      </c>
      <c r="B95" s="8" t="s">
        <v>106</v>
      </c>
      <c r="C95" s="8" t="s">
        <v>9</v>
      </c>
      <c r="D95" s="8"/>
      <c r="E95" s="8">
        <v>28000</v>
      </c>
      <c r="F95" s="10">
        <v>44929</v>
      </c>
      <c r="G95" s="8"/>
      <c r="H95" s="8" t="s">
        <v>24</v>
      </c>
    </row>
    <row r="96" ht="28.8" spans="1:8">
      <c r="A96" s="8">
        <v>223</v>
      </c>
      <c r="B96" s="8" t="s">
        <v>107</v>
      </c>
      <c r="C96" s="8" t="s">
        <v>17</v>
      </c>
      <c r="D96" s="8" t="s">
        <v>108</v>
      </c>
      <c r="E96" s="8"/>
      <c r="F96" s="10">
        <v>44931</v>
      </c>
      <c r="G96" s="8">
        <v>1800</v>
      </c>
      <c r="H96" s="8" t="s">
        <v>11</v>
      </c>
    </row>
    <row r="97" ht="28.8" spans="1:8">
      <c r="A97" s="8">
        <v>224</v>
      </c>
      <c r="B97" s="8" t="s">
        <v>109</v>
      </c>
      <c r="C97" s="8" t="s">
        <v>22</v>
      </c>
      <c r="D97" s="8" t="s">
        <v>110</v>
      </c>
      <c r="E97" s="8">
        <v>42000</v>
      </c>
      <c r="F97" s="10">
        <v>44933</v>
      </c>
      <c r="G97" s="8"/>
      <c r="H97" s="8" t="s">
        <v>24</v>
      </c>
    </row>
    <row r="98" ht="28.8" spans="1:8">
      <c r="A98" s="8">
        <v>225</v>
      </c>
      <c r="B98" s="8" t="s">
        <v>111</v>
      </c>
      <c r="C98" s="8" t="s">
        <v>13</v>
      </c>
      <c r="D98" s="8" t="s">
        <v>112</v>
      </c>
      <c r="E98" s="8">
        <v>30000</v>
      </c>
      <c r="F98" s="10">
        <v>44936</v>
      </c>
      <c r="G98" s="8">
        <v>2200</v>
      </c>
      <c r="H98" s="8" t="s">
        <v>15</v>
      </c>
    </row>
    <row r="99" ht="28.8" spans="1:8">
      <c r="A99" s="8">
        <v>226</v>
      </c>
      <c r="B99" s="8" t="s">
        <v>113</v>
      </c>
      <c r="C99" s="8" t="s">
        <v>9</v>
      </c>
      <c r="D99" s="8" t="s">
        <v>46</v>
      </c>
      <c r="E99" s="8"/>
      <c r="F99" s="10">
        <v>44938</v>
      </c>
      <c r="G99" s="8"/>
      <c r="H99" s="8" t="s">
        <v>24</v>
      </c>
    </row>
    <row r="100" ht="28.8" spans="1:8">
      <c r="A100" s="8">
        <v>227</v>
      </c>
      <c r="B100" s="8" t="s">
        <v>114</v>
      </c>
      <c r="C100" s="8" t="s">
        <v>17</v>
      </c>
      <c r="D100" s="8" t="s">
        <v>115</v>
      </c>
      <c r="E100" s="8">
        <v>31000</v>
      </c>
      <c r="F100" s="10">
        <v>44941</v>
      </c>
      <c r="G100" s="8"/>
      <c r="H100" s="8" t="s">
        <v>11</v>
      </c>
    </row>
    <row r="101" ht="28.8" spans="1:8">
      <c r="A101" s="8">
        <v>228</v>
      </c>
      <c r="B101" s="8" t="s">
        <v>116</v>
      </c>
      <c r="C101" s="8" t="s">
        <v>13</v>
      </c>
      <c r="D101" s="8" t="s">
        <v>34</v>
      </c>
      <c r="E101" s="8">
        <v>34000</v>
      </c>
      <c r="F101" s="10">
        <v>44944</v>
      </c>
      <c r="G101" s="8">
        <v>2000</v>
      </c>
      <c r="H101" s="8" t="s">
        <v>15</v>
      </c>
    </row>
    <row r="102" ht="28.8" spans="1:8">
      <c r="A102" s="8">
        <v>229</v>
      </c>
      <c r="B102" s="8" t="s">
        <v>117</v>
      </c>
      <c r="C102" s="8" t="s">
        <v>22</v>
      </c>
      <c r="D102" s="8" t="s">
        <v>44</v>
      </c>
      <c r="E102" s="8"/>
      <c r="F102" s="10">
        <v>44946</v>
      </c>
      <c r="G102" s="8">
        <v>3000</v>
      </c>
      <c r="H102" s="8" t="s">
        <v>24</v>
      </c>
    </row>
    <row r="103" ht="28.8" spans="1:8">
      <c r="A103" s="8">
        <v>230</v>
      </c>
      <c r="B103" s="8" t="s">
        <v>118</v>
      </c>
      <c r="C103" s="8" t="s">
        <v>9</v>
      </c>
      <c r="D103" s="8" t="s">
        <v>119</v>
      </c>
      <c r="E103" s="8">
        <v>27000</v>
      </c>
      <c r="F103" s="10">
        <v>44948</v>
      </c>
      <c r="G103" s="8"/>
      <c r="H103" s="8"/>
    </row>
    <row r="104" ht="28.8" spans="1:8">
      <c r="A104" s="8">
        <v>231</v>
      </c>
      <c r="B104" s="8" t="s">
        <v>135</v>
      </c>
      <c r="C104" s="8" t="s">
        <v>9</v>
      </c>
      <c r="D104" s="8" t="s">
        <v>30</v>
      </c>
      <c r="E104" s="8">
        <v>29000</v>
      </c>
      <c r="F104" s="10">
        <v>44986</v>
      </c>
      <c r="G104" s="8">
        <v>1800</v>
      </c>
      <c r="H104" s="8" t="s">
        <v>24</v>
      </c>
    </row>
    <row r="105" ht="28.8" spans="1:8">
      <c r="A105" s="8">
        <v>232</v>
      </c>
      <c r="B105" s="8" t="s">
        <v>136</v>
      </c>
      <c r="C105" s="8" t="s">
        <v>13</v>
      </c>
      <c r="D105" s="8" t="s">
        <v>137</v>
      </c>
      <c r="E105" s="8">
        <v>36000</v>
      </c>
      <c r="F105" s="10">
        <v>44988</v>
      </c>
      <c r="G105" s="8"/>
      <c r="H105" s="8" t="s">
        <v>15</v>
      </c>
    </row>
    <row r="106" ht="28.8" spans="1:8">
      <c r="A106" s="8">
        <v>233</v>
      </c>
      <c r="B106" s="8" t="s">
        <v>138</v>
      </c>
      <c r="C106" s="8" t="s">
        <v>17</v>
      </c>
      <c r="D106" s="8" t="s">
        <v>139</v>
      </c>
      <c r="E106" s="8">
        <v>31000</v>
      </c>
      <c r="F106" s="10">
        <v>44990</v>
      </c>
      <c r="G106" s="8">
        <v>2000</v>
      </c>
      <c r="H106" s="8" t="s">
        <v>11</v>
      </c>
    </row>
    <row r="107" ht="28.8" spans="1:8">
      <c r="A107" s="8">
        <v>234</v>
      </c>
      <c r="B107" s="8" t="s">
        <v>140</v>
      </c>
      <c r="C107" s="8" t="s">
        <v>22</v>
      </c>
      <c r="D107" s="8" t="s">
        <v>141</v>
      </c>
      <c r="E107" s="8">
        <v>40000</v>
      </c>
      <c r="F107" s="10">
        <v>44992</v>
      </c>
      <c r="G107" s="8"/>
      <c r="H107" s="8" t="s">
        <v>24</v>
      </c>
    </row>
    <row r="108" ht="28.8" spans="1:8">
      <c r="A108" s="8">
        <v>235</v>
      </c>
      <c r="B108" s="8" t="s">
        <v>142</v>
      </c>
      <c r="C108" s="8" t="s">
        <v>13</v>
      </c>
      <c r="D108" s="8" t="s">
        <v>56</v>
      </c>
      <c r="E108" s="8">
        <v>33000</v>
      </c>
      <c r="F108" s="10">
        <v>44995</v>
      </c>
      <c r="G108" s="8">
        <v>2100</v>
      </c>
      <c r="H108" s="8" t="s">
        <v>15</v>
      </c>
    </row>
    <row r="109" ht="28.8" spans="1:8">
      <c r="A109" s="8">
        <v>236</v>
      </c>
      <c r="B109" s="8" t="s">
        <v>143</v>
      </c>
      <c r="C109" s="8" t="s">
        <v>9</v>
      </c>
      <c r="D109" s="8" t="s">
        <v>26</v>
      </c>
      <c r="E109" s="8">
        <v>28000</v>
      </c>
      <c r="F109" s="10">
        <v>44997</v>
      </c>
      <c r="G109" s="8"/>
      <c r="H109" s="8" t="s">
        <v>24</v>
      </c>
    </row>
    <row r="110" ht="28.8" spans="1:8">
      <c r="A110" s="8">
        <v>237</v>
      </c>
      <c r="B110" s="8" t="s">
        <v>144</v>
      </c>
      <c r="C110" s="8" t="s">
        <v>17</v>
      </c>
      <c r="D110" s="8" t="s">
        <v>145</v>
      </c>
      <c r="E110" s="8">
        <v>30500</v>
      </c>
      <c r="F110" s="10">
        <v>45000</v>
      </c>
      <c r="G110" s="8">
        <v>2000</v>
      </c>
      <c r="H110" s="8" t="s">
        <v>11</v>
      </c>
    </row>
    <row r="111" ht="28.8" spans="1:8">
      <c r="A111" s="8">
        <v>238</v>
      </c>
      <c r="B111" s="8" t="s">
        <v>146</v>
      </c>
      <c r="C111" s="8" t="s">
        <v>22</v>
      </c>
      <c r="D111" s="8" t="s">
        <v>147</v>
      </c>
      <c r="E111" s="8">
        <v>39000</v>
      </c>
      <c r="F111" s="10">
        <v>45003</v>
      </c>
      <c r="G111" s="8"/>
      <c r="H111" s="8" t="s">
        <v>24</v>
      </c>
    </row>
    <row r="112" ht="28.8" spans="1:8">
      <c r="A112" s="8">
        <v>239</v>
      </c>
      <c r="B112" s="8" t="s">
        <v>148</v>
      </c>
      <c r="C112" s="8" t="s">
        <v>13</v>
      </c>
      <c r="D112" s="8" t="s">
        <v>85</v>
      </c>
      <c r="E112" s="8">
        <v>35000</v>
      </c>
      <c r="F112" s="10">
        <v>45005</v>
      </c>
      <c r="G112" s="8">
        <v>2200</v>
      </c>
      <c r="H112" s="8" t="s">
        <v>15</v>
      </c>
    </row>
    <row r="113" ht="28.8" spans="1:8">
      <c r="A113" s="8">
        <v>240</v>
      </c>
      <c r="B113" s="8" t="s">
        <v>149</v>
      </c>
      <c r="C113" s="8" t="s">
        <v>9</v>
      </c>
      <c r="D113" s="8" t="s">
        <v>150</v>
      </c>
      <c r="E113" s="8">
        <v>27000</v>
      </c>
      <c r="F113" s="10">
        <v>45007</v>
      </c>
      <c r="G113" s="8"/>
      <c r="H113" s="8" t="s">
        <v>24</v>
      </c>
    </row>
  </sheetData>
  <hyperlinks>
    <hyperlink ref="D2" r:id="rId1" display="ram@gmail.com" tooltip="mailto:ram@gmail.com"/>
    <hyperlink ref="D3" r:id="rId2" display="sita@gmail.com" tooltip="mailto:sita@gmail.com"/>
    <hyperlink ref="D4" r:id="rId3" display="ravi@gmail.com" tooltip="mailto:ravi@gmail.com"/>
    <hyperlink ref="D5" r:id="rId4" display="meena@gmail.com" tooltip="mailto:meena@gmail.com"/>
    <hyperlink ref="D6" r:id="rId5" display="john@gmail.com" tooltip="mailto:john@gmail.com"/>
    <hyperlink ref="D7" r:id="rId6" display="kavya@gmail.com" tooltip="mailto:kavya@gmail.com"/>
    <hyperlink ref="D8" r:id="rId7" display="arjun@gmail.com" tooltip="mailto:arjun@gmail.com"/>
    <hyperlink ref="D9" r:id="rId8" display="priya@gmail.com" tooltip="mailto:priya@gmail.com"/>
    <hyperlink ref="D10" r:id="rId9" display="rohit@gmail.com" tooltip="mailto:rohit@gmail.com"/>
    <hyperlink ref="D11" r:id="rId10" display="sneha@gmail.com" tooltip="mailto:sneha@gmail.com"/>
    <hyperlink ref="D12" r:id="rId11" display="vikram@gmail.com" tooltip="mailto:vikram@gmail.com"/>
    <hyperlink ref="D13" r:id="rId12" display="anjali@gmail.com" tooltip="mailto:anjali@gmail.com"/>
    <hyperlink ref="D14" r:id="rId13" display="raj@gmail.com" tooltip="mailto:raj@gmail.com"/>
    <hyperlink ref="D15" r:id="rId14" display="neha@gmail.com" tooltip="mailto:neha@gmail.com"/>
    <hyperlink ref="D16" r:id="rId15" display="kiran@gmail.com" tooltip="mailto:kiran@gmail.com"/>
    <hyperlink ref="D17" r:id="rId16" display="pooja@gmail.com" tooltip="mailto:pooja@gmail.com"/>
    <hyperlink ref="D18" r:id="rId17" display="aman@gmail.com" tooltip="mailto:aman@gmail.com"/>
    <hyperlink ref="D19" r:id="rId18" display="ritu@gmail.com" tooltip="mailto:ritu@gmail.com"/>
    <hyperlink ref="D20" r:id="rId19" display="mohan@gmail.com" tooltip="mailto:mohan@gmail.com"/>
    <hyperlink ref="D21" r:id="rId20" display="sunita@gmail.com" tooltip="mailto:sunita@gmail.com"/>
    <hyperlink ref="D22" r:id="rId21" display="deepak@gmail.com" tooltip="mailto:deepak@gmail.com"/>
    <hyperlink ref="D23" r:id="rId22" display="varun@gmail.com" tooltip="mailto:varun@gmail.com"/>
    <hyperlink ref="D24" r:id="rId23" display="nisha@gmail.com" tooltip="mailto:nisha@gmail.com"/>
    <hyperlink ref="D25" r:id="rId24" display="rahul@gmail.com" tooltip="mailto:rahul@gmail.com"/>
    <hyperlink ref="D26" r:id="rId25" display="kavita@gmail.com" tooltip="mailto:kavita@gmail.com"/>
    <hyperlink ref="D27" r:id="rId26" display="tarun@gmail.com" tooltip="mailto:tarun@gmail.com"/>
    <hyperlink ref="D28" r:id="rId27" display="pawan@gmail.com" tooltip="mailto:pawan@gmail.com"/>
    <hyperlink ref="D29" r:id="rId28" display="divya@gmail.com" tooltip="mailto:divya@gmail.com"/>
    <hyperlink ref="D30" r:id="rId29" display="karthik@gmail.com" tooltip="mailto:karthik@gmail.com"/>
    <hyperlink ref="D31" r:id="rId30" display="rekha@gmail.com" tooltip="mailto:rekha@gmail.com"/>
    <hyperlink ref="D32" r:id="rId1" display="ram@gmail.com" tooltip="mailto:ram@gmail.com"/>
    <hyperlink ref="D33" r:id="rId2" display="sita@gmail.com" tooltip="mailto:sita@gmail.com"/>
    <hyperlink ref="D34" r:id="rId3" display="ravi@gmail.com" tooltip="mailto:ravi@gmail.com"/>
    <hyperlink ref="D35" r:id="rId4" display="meena@gmail.com" tooltip="mailto:meena@gmail.com"/>
    <hyperlink ref="D36" r:id="rId5" display="john@gmail.com" tooltip="mailto:john@gmail.com"/>
    <hyperlink ref="D37" r:id="rId6" display="kavya@gmail.com" tooltip="mailto:kavya@gmail.com"/>
    <hyperlink ref="D38" r:id="rId7" display="arjun@gmail.com" tooltip="mailto:arjun@gmail.com"/>
    <hyperlink ref="D39" r:id="rId8" display="priya@gmail.com" tooltip="mailto:priya@gmail.com"/>
    <hyperlink ref="D40" r:id="rId9" display="rohit@gmail.com" tooltip="mailto:rohit@gmail.com"/>
    <hyperlink ref="D41" r:id="rId10" display="sneha@gmail.com" tooltip="mailto:sneha@gmail.com"/>
    <hyperlink ref="D42" r:id="rId31" display="ajay@gmail.com" tooltip="mailto:ajay@gmail.com"/>
    <hyperlink ref="D43" r:id="rId32" display="bhavna@gmail.com" tooltip="mailto:bhavna@gmail.com"/>
    <hyperlink ref="D44" r:id="rId33" display="chirag@gmail.com" tooltip="mailto:chirag@gmail.com"/>
    <hyperlink ref="D45" r:id="rId34" display="deepika@gmail.com" tooltip="mailto:deepika@gmail.com"/>
    <hyperlink ref="D46" r:id="rId35" display="esha@gmail.com" tooltip="mailto:esha@gmail.com"/>
    <hyperlink ref="D47" r:id="rId36" display="farhan@gmail.com" tooltip="mailto:farhan@gmail.com"/>
    <hyperlink ref="D48" r:id="rId37" display="gaurav@gmail.com" tooltip="mailto:gaurav@gmail.com"/>
    <hyperlink ref="D49" r:id="rId38" display="heena@gmail.com" tooltip="mailto:heena@gmail.com"/>
    <hyperlink ref="D50" r:id="rId39" display="imran@gmail.com" tooltip="mailto:imran@gmail.com"/>
    <hyperlink ref="D51" r:id="rId40" display="jyoti@gmail.com" tooltip="mailto:jyoti@gmail.com"/>
    <hyperlink ref="D52" r:id="rId41" display="akash@gmail.com" tooltip="mailto:akash@gmail.com"/>
    <hyperlink ref="D53" r:id="rId14" display="neha@gmail.com" tooltip="mailto:neha@gmail.com"/>
    <hyperlink ref="D54" r:id="rId42" display="rohan@gmail.com" tooltip="mailto:rohan@gmail.com"/>
    <hyperlink ref="D55" r:id="rId43" display="meera@gmail.com" tooltip="mailto:meera@gmail.com"/>
    <hyperlink ref="D56" r:id="rId44" display="vikas@gmail.com" tooltip="mailto:vikas@gmail.com"/>
    <hyperlink ref="D57" r:id="rId16" display="pooja@gmail.com" tooltip="mailto:pooja@gmail.com"/>
    <hyperlink ref="D58" r:id="rId45" display="arvind@gmail.com" tooltip="mailto:arvind@gmail.com"/>
    <hyperlink ref="D59" r:id="rId10" display="sneha@gmail.com" tooltip="mailto:sneha@gmail.com"/>
    <hyperlink ref="D60" r:id="rId15" display="kiran@gmail.com" tooltip="mailto:kiran@gmail.com"/>
    <hyperlink ref="D61" r:id="rId46" display="mohit@gmail.com" tooltip="mailto:mohit@gmail.com"/>
    <hyperlink ref="D62" r:id="rId47" display="anil@gmail.com" tooltip="mailto:anil@gmail.com"/>
    <hyperlink ref="D63" r:id="rId28" display="divya@gmail.com" tooltip="mailto:divya@gmail.com"/>
    <hyperlink ref="D64" r:id="rId24" display="rahul@gmail.com" tooltip="mailto:rahul@gmail.com"/>
    <hyperlink ref="D65" r:id="rId23" display="nisha@gmail.com" tooltip="mailto:nisha@gmail.com"/>
    <hyperlink ref="D66" r:id="rId48" display="sameer@gmail.com" tooltip="mailto:sameer@gmail.com"/>
    <hyperlink ref="D67" r:id="rId25" display="kavita@gmail.com" tooltip="mailto:kavita@gmail.com"/>
    <hyperlink ref="D68" r:id="rId49" display="amit@gmail.com" tooltip="mailto:amit@gmail.com"/>
    <hyperlink ref="D69" r:id="rId18" display="ritu@gmail.com" tooltip="mailto:ritu@gmail.com"/>
    <hyperlink ref="D70" r:id="rId50" display="sandeep@gmail.com" tooltip="mailto:sandeep@gmail.com"/>
    <hyperlink ref="D71" r:id="rId51" display="neeraj@gmail.com" tooltip="mailto:neeraj@gmail.com"/>
    <hyperlink ref="D72" r:id="rId41" display="akash@gmail.com" tooltip="mailto:akash@gmail.com"/>
    <hyperlink ref="D74" r:id="rId42" display="rohan@gmail.com" tooltip="mailto:rohan@gmail.com"/>
    <hyperlink ref="D75" r:id="rId43" display="meera@gmail.com" tooltip="mailto:meera@gmail.com"/>
    <hyperlink ref="D76" r:id="rId44" display="vikas@gmail.com" tooltip="mailto:vikas@gmail.com"/>
    <hyperlink ref="D77" r:id="rId16" display="pooja@gmail.com" tooltip="mailto:pooja@gmail.com"/>
    <hyperlink ref="D78" r:id="rId45" display="arvind@gmail.com" tooltip="mailto:arvind@gmail.com"/>
    <hyperlink ref="D79" r:id="rId10" display="sneha@gmail.com" tooltip="mailto:sneha@gmail.com"/>
    <hyperlink ref="D80" r:id="rId15" display="kiran@gmail.com" tooltip="mailto:kiran@gmail.com"/>
    <hyperlink ref="D81" r:id="rId46" display="mohit@gmail.com" tooltip="mailto:mohit@gmail.com"/>
    <hyperlink ref="D82" r:id="rId8" display="priya@gmail.com" tooltip="mailto:priya@gmail.com"/>
    <hyperlink ref="D83" r:id="rId52" display="rakesh@gmail.com" tooltip="mailto:rakesh@gmail.com"/>
    <hyperlink ref="D84" r:id="rId53" display="sunil@gmail.com" tooltip="mailto:sunil@gmail.com"/>
    <hyperlink ref="D85" r:id="rId54" display="ananya@gmail.com" tooltip="mailto:ananya@gmail.com"/>
    <hyperlink ref="D86" r:id="rId21" display="deepak@gmail.com" tooltip="mailto:deepak@gmail.com"/>
    <hyperlink ref="D87" r:id="rId6" display="kavya@gmail.com" tooltip="mailto:kavya@gmail.com"/>
    <hyperlink ref="D88" r:id="rId55" display="manoj@gmail.com" tooltip="mailto:manoj@gmail.com"/>
    <hyperlink ref="D89" r:id="rId56" display="riya@gmail.com" tooltip="mailto:riya@gmail.com"/>
    <hyperlink ref="D90" r:id="rId31" display="ajay@gmail.com" tooltip="mailto:ajay@gmail.com"/>
    <hyperlink ref="D91" r:id="rId57" display="nikhil@gmail.com" tooltip="mailto:nikhil@gmail.com"/>
    <hyperlink ref="D92" r:id="rId50" display="sandeep@gmail.com" tooltip="mailto:sandeep@gmail.com"/>
    <hyperlink ref="D93" r:id="rId51" display="neeraj@gmail.com" tooltip="mailto:neeraj@gmail.com"/>
    <hyperlink ref="D94" r:id="rId41" display="akash@gmail.com" tooltip="mailto:akash@gmail.com"/>
    <hyperlink ref="D96" r:id="rId42" display="rohan@gmail.com" tooltip="mailto:rohan@gmail.com"/>
    <hyperlink ref="D97" r:id="rId43" display="meera@gmail.com" tooltip="mailto:meera@gmail.com"/>
    <hyperlink ref="D98" r:id="rId44" display="vikas@gmail.com" tooltip="mailto:vikas@gmail.com"/>
    <hyperlink ref="D99" r:id="rId16" display="pooja@gmail.com" tooltip="mailto:pooja@gmail.com"/>
    <hyperlink ref="D100" r:id="rId45" display="arvind@gmail.com" tooltip="mailto:arvind@gmail.com"/>
    <hyperlink ref="D101" r:id="rId10" display="sneha@gmail.com" tooltip="mailto:sneha@gmail.com"/>
    <hyperlink ref="D102" r:id="rId15" display="kiran@gmail.com" tooltip="mailto:kiran@gmail.com"/>
    <hyperlink ref="D103" r:id="rId46" display="mohit@gmail.com" tooltip="mailto:mohit@gmail.com"/>
    <hyperlink ref="D104" r:id="rId8" display="priya@gmail.com" tooltip="mailto:priya@gmail.com"/>
    <hyperlink ref="D105" r:id="rId52" display="rakesh@gmail.com" tooltip="mailto:rakesh@gmail.com"/>
    <hyperlink ref="D106" r:id="rId53" display="sunil@gmail.com" tooltip="mailto:sunil@gmail.com"/>
    <hyperlink ref="D107" r:id="rId54" display="ananya@gmail.com" tooltip="mailto:ananya@gmail.com"/>
    <hyperlink ref="D108" r:id="rId21" display="deepak@gmail.com" tooltip="mailto:deepak@gmail.com"/>
    <hyperlink ref="D109" r:id="rId6" display="kavya@gmail.com" tooltip="mailto:kavya@gmail.com"/>
    <hyperlink ref="D110" r:id="rId55" display="manoj@gmail.com" tooltip="mailto:manoj@gmail.com"/>
    <hyperlink ref="D111" r:id="rId56" display="riya@gmail.com" tooltip="mailto:riya@gmail.com"/>
    <hyperlink ref="D112" r:id="rId31" display="ajay@gmail.com" tooltip="mailto:ajay@gmail.com"/>
    <hyperlink ref="D113" r:id="rId57" display="nikhil@gmail.com" tooltip="mailto:nikhil@gmail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3"/>
  <sheetViews>
    <sheetView workbookViewId="0">
      <pane xSplit="1" ySplit="1" topLeftCell="C67" activePane="bottomRight" state="frozen"/>
      <selection/>
      <selection pane="topRight"/>
      <selection pane="bottomLeft"/>
      <selection pane="bottomRight" activeCell="H93" sqref="H93"/>
    </sheetView>
  </sheetViews>
  <sheetFormatPr defaultColWidth="8.88888888888889" defaultRowHeight="14.4"/>
  <cols>
    <col min="1" max="1" width="11.3333333333333" customWidth="1"/>
    <col min="2" max="3" width="13" customWidth="1"/>
    <col min="4" max="5" width="10.8888888888889" customWidth="1"/>
    <col min="6" max="7" width="17" customWidth="1"/>
    <col min="8" max="8" width="9.11111111111111" customWidth="1"/>
    <col min="9" max="9" width="12.8888888888889" customWidth="1"/>
    <col min="10" max="10" width="11.1111111111111" customWidth="1"/>
    <col min="11" max="11" width="6" customWidth="1"/>
    <col min="12" max="12" width="11.8888888888889" customWidth="1"/>
    <col min="13" max="13" width="8.33333333333333" customWidth="1"/>
    <col min="14" max="14" width="14.7777777777778" customWidth="1"/>
    <col min="15" max="15" width="12.8888888888889"/>
    <col min="17" max="17" width="23" customWidth="1"/>
  </cols>
  <sheetData>
    <row r="1" s="6" customFormat="1" ht="28.8" spans="1:15">
      <c r="A1" s="7" t="s">
        <v>0</v>
      </c>
      <c r="B1" s="7" t="s">
        <v>1</v>
      </c>
      <c r="C1" s="7" t="s">
        <v>151</v>
      </c>
      <c r="D1" s="7" t="s">
        <v>2</v>
      </c>
      <c r="E1" s="7" t="s">
        <v>152</v>
      </c>
      <c r="F1" s="7" t="s">
        <v>3</v>
      </c>
      <c r="G1" s="7" t="s">
        <v>153</v>
      </c>
      <c r="H1" s="7" t="s">
        <v>4</v>
      </c>
      <c r="I1" s="7" t="s">
        <v>154</v>
      </c>
      <c r="J1" s="7" t="s">
        <v>5</v>
      </c>
      <c r="K1" s="7" t="s">
        <v>6</v>
      </c>
      <c r="L1" s="7" t="s">
        <v>155</v>
      </c>
      <c r="M1" s="7" t="s">
        <v>7</v>
      </c>
      <c r="N1" s="9" t="s">
        <v>156</v>
      </c>
      <c r="O1" s="6" t="s">
        <v>157</v>
      </c>
    </row>
    <row r="2" spans="1:15">
      <c r="A2" s="8">
        <v>101</v>
      </c>
      <c r="B2" s="8" t="s">
        <v>8</v>
      </c>
      <c r="C2" s="8" t="str">
        <f>PROPER(TRIM(B2))</f>
        <v>Ram Kumar</v>
      </c>
      <c r="D2" s="8" t="s">
        <v>9</v>
      </c>
      <c r="E2" s="8" t="str">
        <f>PROPER(TRIM(D2))</f>
        <v>Hr</v>
      </c>
      <c r="F2" s="8" t="s">
        <v>10</v>
      </c>
      <c r="G2" s="8" t="str">
        <f>IF(F2="","Not Available",F2)</f>
        <v>ram@gmail.com</v>
      </c>
      <c r="H2" s="8">
        <v>25000</v>
      </c>
      <c r="I2" s="8">
        <f>IF(H2="",$H$93,H2)</f>
        <v>25000</v>
      </c>
      <c r="J2" s="10">
        <v>44938</v>
      </c>
      <c r="K2" s="8">
        <v>2000</v>
      </c>
      <c r="L2" s="8">
        <f>IF(K2="",0,K2)</f>
        <v>2000</v>
      </c>
      <c r="M2" s="8" t="s">
        <v>11</v>
      </c>
      <c r="N2" t="str">
        <f>IF(M2="","Not Assigned",M2)</f>
        <v>Suresh</v>
      </c>
      <c r="O2">
        <f>IFERROR(I2+L2,0)</f>
        <v>27000</v>
      </c>
    </row>
    <row r="3" spans="1:15">
      <c r="A3" s="8">
        <v>102</v>
      </c>
      <c r="B3" s="8" t="s">
        <v>12</v>
      </c>
      <c r="C3" s="8" t="str">
        <f t="shared" ref="C3:C34" si="0">PROPER(TRIM(B3))</f>
        <v>Sita Devi</v>
      </c>
      <c r="D3" s="8" t="s">
        <v>13</v>
      </c>
      <c r="E3" s="8" t="str">
        <f t="shared" ref="E3:E34" si="1">PROPER(TRIM(D3))</f>
        <v>It</v>
      </c>
      <c r="F3" s="8" t="s">
        <v>14</v>
      </c>
      <c r="G3" s="8" t="str">
        <f t="shared" ref="G3:G34" si="2">IF(F3="","Not Available",F3)</f>
        <v>sita@gmail.com</v>
      </c>
      <c r="H3" s="8">
        <v>30000</v>
      </c>
      <c r="I3" s="8">
        <f t="shared" ref="I3:I34" si="3">IF(H3="",$H$93,H3)</f>
        <v>30000</v>
      </c>
      <c r="J3" s="10">
        <v>44972</v>
      </c>
      <c r="K3" s="8"/>
      <c r="L3" s="8">
        <f t="shared" ref="L3:L34" si="4">IF(K3="",0,K3)</f>
        <v>0</v>
      </c>
      <c r="M3" s="8" t="s">
        <v>15</v>
      </c>
      <c r="N3" t="str">
        <f t="shared" ref="N3:N34" si="5">IF(M3="","Not Assigned",M3)</f>
        <v>Mahesh</v>
      </c>
      <c r="O3">
        <f t="shared" ref="O3:O34" si="6">IFERROR(I3+L3,0)</f>
        <v>30000</v>
      </c>
    </row>
    <row r="4" spans="1:15">
      <c r="A4" s="8">
        <v>103</v>
      </c>
      <c r="B4" s="8" t="s">
        <v>16</v>
      </c>
      <c r="C4" s="8" t="str">
        <f t="shared" si="0"/>
        <v>Ravi Kumar</v>
      </c>
      <c r="D4" s="8" t="s">
        <v>17</v>
      </c>
      <c r="E4" s="8" t="str">
        <f t="shared" si="1"/>
        <v>Sales</v>
      </c>
      <c r="F4" s="8" t="s">
        <v>18</v>
      </c>
      <c r="G4" s="8" t="str">
        <f t="shared" si="2"/>
        <v>ravi@gmail.com</v>
      </c>
      <c r="H4" s="8">
        <v>28000</v>
      </c>
      <c r="I4" s="8">
        <f t="shared" si="3"/>
        <v>28000</v>
      </c>
      <c r="J4" s="10">
        <v>45003</v>
      </c>
      <c r="K4" s="8">
        <v>2500</v>
      </c>
      <c r="L4" s="8">
        <f t="shared" si="4"/>
        <v>2500</v>
      </c>
      <c r="M4" s="8" t="s">
        <v>11</v>
      </c>
      <c r="N4" t="str">
        <f t="shared" si="5"/>
        <v>Suresh</v>
      </c>
      <c r="O4">
        <f t="shared" si="6"/>
        <v>30500</v>
      </c>
    </row>
    <row r="5" spans="1:15">
      <c r="A5" s="8">
        <v>104</v>
      </c>
      <c r="B5" s="8" t="s">
        <v>19</v>
      </c>
      <c r="C5" s="8" t="str">
        <f t="shared" si="0"/>
        <v>Meena Sharma</v>
      </c>
      <c r="D5" s="8" t="s">
        <v>13</v>
      </c>
      <c r="E5" s="8" t="str">
        <f t="shared" si="1"/>
        <v>It</v>
      </c>
      <c r="F5" s="8" t="s">
        <v>20</v>
      </c>
      <c r="G5" s="8" t="str">
        <f t="shared" si="2"/>
        <v>meena@gmail.com</v>
      </c>
      <c r="H5" s="8">
        <v>35000</v>
      </c>
      <c r="I5" s="8">
        <f t="shared" si="3"/>
        <v>35000</v>
      </c>
      <c r="J5" s="10">
        <v>45037</v>
      </c>
      <c r="K5" s="8">
        <v>3000</v>
      </c>
      <c r="L5" s="8">
        <f t="shared" si="4"/>
        <v>3000</v>
      </c>
      <c r="M5" s="8"/>
      <c r="N5" t="str">
        <f t="shared" si="5"/>
        <v>Not Assigned</v>
      </c>
      <c r="O5">
        <f t="shared" si="6"/>
        <v>38000</v>
      </c>
    </row>
    <row r="6" spans="1:17">
      <c r="A6" s="8">
        <v>105</v>
      </c>
      <c r="B6" s="8" t="s">
        <v>21</v>
      </c>
      <c r="C6" s="8" t="str">
        <f t="shared" si="0"/>
        <v>John Rao</v>
      </c>
      <c r="D6" s="8" t="s">
        <v>22</v>
      </c>
      <c r="E6" s="8" t="str">
        <f t="shared" si="1"/>
        <v>Finance</v>
      </c>
      <c r="F6" s="8" t="s">
        <v>23</v>
      </c>
      <c r="G6" s="8" t="str">
        <f t="shared" si="2"/>
        <v>john@gmail.com</v>
      </c>
      <c r="H6" s="8">
        <v>40000</v>
      </c>
      <c r="I6" s="8">
        <f t="shared" si="3"/>
        <v>40000</v>
      </c>
      <c r="J6" s="10">
        <v>45071</v>
      </c>
      <c r="K6" s="8">
        <v>4000</v>
      </c>
      <c r="L6" s="8">
        <f t="shared" si="4"/>
        <v>4000</v>
      </c>
      <c r="M6" s="8" t="s">
        <v>24</v>
      </c>
      <c r="N6" t="str">
        <f t="shared" si="5"/>
        <v>Kavitha</v>
      </c>
      <c r="O6">
        <f t="shared" si="6"/>
        <v>44000</v>
      </c>
      <c r="Q6" s="11" t="s">
        <v>158</v>
      </c>
    </row>
    <row r="7" spans="1:17">
      <c r="A7" s="8">
        <v>106</v>
      </c>
      <c r="B7" s="8" t="s">
        <v>25</v>
      </c>
      <c r="C7" s="8" t="str">
        <f t="shared" si="0"/>
        <v>Kavya Reddy</v>
      </c>
      <c r="D7" s="8" t="s">
        <v>13</v>
      </c>
      <c r="E7" s="8" t="str">
        <f t="shared" si="1"/>
        <v>It</v>
      </c>
      <c r="F7" s="8" t="s">
        <v>26</v>
      </c>
      <c r="G7" s="8" t="str">
        <f t="shared" si="2"/>
        <v>kavya@gmail.com</v>
      </c>
      <c r="H7" s="8"/>
      <c r="I7" s="8">
        <f t="shared" si="3"/>
        <v>32091</v>
      </c>
      <c r="J7" s="10">
        <v>45078</v>
      </c>
      <c r="K7" s="8">
        <v>1500</v>
      </c>
      <c r="L7" s="8">
        <f t="shared" si="4"/>
        <v>1500</v>
      </c>
      <c r="M7" s="8" t="s">
        <v>15</v>
      </c>
      <c r="N7" t="str">
        <f t="shared" si="5"/>
        <v>Mahesh</v>
      </c>
      <c r="O7">
        <f t="shared" si="6"/>
        <v>33591</v>
      </c>
      <c r="Q7" s="12"/>
    </row>
    <row r="8" spans="1:17">
      <c r="A8" s="8">
        <v>107</v>
      </c>
      <c r="B8" s="8" t="s">
        <v>27</v>
      </c>
      <c r="C8" s="8" t="str">
        <f t="shared" si="0"/>
        <v>Arjun Naik</v>
      </c>
      <c r="D8" s="8" t="s">
        <v>17</v>
      </c>
      <c r="E8" s="8" t="str">
        <f t="shared" si="1"/>
        <v>Sales</v>
      </c>
      <c r="F8" s="8" t="s">
        <v>28</v>
      </c>
      <c r="G8" s="8" t="str">
        <f t="shared" si="2"/>
        <v>arjun@gmail.com</v>
      </c>
      <c r="H8" s="8">
        <v>27000</v>
      </c>
      <c r="I8" s="8">
        <f t="shared" si="3"/>
        <v>27000</v>
      </c>
      <c r="J8" s="10">
        <v>45088</v>
      </c>
      <c r="K8" s="8"/>
      <c r="L8" s="8">
        <f t="shared" si="4"/>
        <v>0</v>
      </c>
      <c r="M8" s="8" t="s">
        <v>11</v>
      </c>
      <c r="N8" t="str">
        <f t="shared" si="5"/>
        <v>Suresh</v>
      </c>
      <c r="O8">
        <f t="shared" si="6"/>
        <v>27000</v>
      </c>
      <c r="Q8" s="12"/>
    </row>
    <row r="9" spans="1:17">
      <c r="A9" s="8">
        <v>108</v>
      </c>
      <c r="B9" s="8" t="s">
        <v>29</v>
      </c>
      <c r="C9" s="8" t="str">
        <f t="shared" si="0"/>
        <v>Priya Sharma</v>
      </c>
      <c r="D9" s="8" t="s">
        <v>9</v>
      </c>
      <c r="E9" s="8" t="str">
        <f t="shared" si="1"/>
        <v>Hr</v>
      </c>
      <c r="F9" s="8" t="s">
        <v>30</v>
      </c>
      <c r="G9" s="8" t="str">
        <f t="shared" si="2"/>
        <v>priya@gmail.com</v>
      </c>
      <c r="H9" s="8">
        <v>26000</v>
      </c>
      <c r="I9" s="8">
        <f t="shared" si="3"/>
        <v>26000</v>
      </c>
      <c r="J9" s="10">
        <v>45126</v>
      </c>
      <c r="K9" s="8">
        <v>1800</v>
      </c>
      <c r="L9" s="8">
        <f t="shared" si="4"/>
        <v>1800</v>
      </c>
      <c r="M9" s="8" t="s">
        <v>24</v>
      </c>
      <c r="N9" t="str">
        <f t="shared" si="5"/>
        <v>Kavitha</v>
      </c>
      <c r="O9">
        <f t="shared" si="6"/>
        <v>27800</v>
      </c>
      <c r="Q9" s="12"/>
    </row>
    <row r="10" spans="1:17">
      <c r="A10" s="8">
        <v>109</v>
      </c>
      <c r="B10" s="8" t="s">
        <v>31</v>
      </c>
      <c r="C10" s="8" t="str">
        <f t="shared" si="0"/>
        <v>Rohit Verma</v>
      </c>
      <c r="D10" s="8" t="s">
        <v>22</v>
      </c>
      <c r="E10" s="8" t="str">
        <f t="shared" si="1"/>
        <v>Finance</v>
      </c>
      <c r="F10" s="8" t="s">
        <v>32</v>
      </c>
      <c r="G10" s="8" t="str">
        <f t="shared" si="2"/>
        <v>rohit@gmail.com</v>
      </c>
      <c r="H10" s="8">
        <v>38000</v>
      </c>
      <c r="I10" s="8">
        <f t="shared" si="3"/>
        <v>38000</v>
      </c>
      <c r="J10" s="10">
        <v>45160</v>
      </c>
      <c r="K10" s="8">
        <v>3500</v>
      </c>
      <c r="L10" s="8">
        <f t="shared" si="4"/>
        <v>3500</v>
      </c>
      <c r="M10" s="8" t="s">
        <v>24</v>
      </c>
      <c r="N10" t="str">
        <f t="shared" si="5"/>
        <v>Kavitha</v>
      </c>
      <c r="O10">
        <f t="shared" si="6"/>
        <v>41500</v>
      </c>
      <c r="Q10" s="12"/>
    </row>
    <row r="11" spans="1:17">
      <c r="A11" s="8">
        <v>110</v>
      </c>
      <c r="B11" s="8" t="s">
        <v>33</v>
      </c>
      <c r="C11" s="8" t="str">
        <f t="shared" si="0"/>
        <v>Sneha Iyer</v>
      </c>
      <c r="D11" s="8" t="s">
        <v>13</v>
      </c>
      <c r="E11" s="8" t="str">
        <f t="shared" si="1"/>
        <v>It</v>
      </c>
      <c r="F11" s="8" t="s">
        <v>34</v>
      </c>
      <c r="G11" s="8" t="str">
        <f t="shared" si="2"/>
        <v>sneha@gmail.com</v>
      </c>
      <c r="H11" s="8">
        <v>32000</v>
      </c>
      <c r="I11" s="8">
        <f t="shared" si="3"/>
        <v>32000</v>
      </c>
      <c r="J11" s="10">
        <v>45174</v>
      </c>
      <c r="K11" s="8"/>
      <c r="L11" s="8">
        <f t="shared" si="4"/>
        <v>0</v>
      </c>
      <c r="M11" s="8" t="s">
        <v>15</v>
      </c>
      <c r="N11" t="str">
        <f t="shared" si="5"/>
        <v>Mahesh</v>
      </c>
      <c r="O11">
        <f t="shared" si="6"/>
        <v>32000</v>
      </c>
      <c r="Q11" s="12"/>
    </row>
    <row r="12" spans="1:17">
      <c r="A12" s="8">
        <v>111</v>
      </c>
      <c r="B12" s="8" t="s">
        <v>35</v>
      </c>
      <c r="C12" s="8" t="str">
        <f t="shared" si="0"/>
        <v>Vikram Singh</v>
      </c>
      <c r="D12" s="8" t="s">
        <v>17</v>
      </c>
      <c r="E12" s="8" t="str">
        <f t="shared" si="1"/>
        <v>Sales</v>
      </c>
      <c r="F12" s="8" t="s">
        <v>36</v>
      </c>
      <c r="G12" s="8" t="str">
        <f t="shared" si="2"/>
        <v>vikram@gmail.com</v>
      </c>
      <c r="H12" s="8">
        <v>29000</v>
      </c>
      <c r="I12" s="8">
        <f t="shared" si="3"/>
        <v>29000</v>
      </c>
      <c r="J12" s="10">
        <v>45179</v>
      </c>
      <c r="K12" s="8">
        <v>2100</v>
      </c>
      <c r="L12" s="8">
        <f t="shared" si="4"/>
        <v>2100</v>
      </c>
      <c r="M12" s="8"/>
      <c r="N12" t="str">
        <f t="shared" si="5"/>
        <v>Not Assigned</v>
      </c>
      <c r="O12">
        <f t="shared" si="6"/>
        <v>31100</v>
      </c>
      <c r="Q12" s="12"/>
    </row>
    <row r="13" spans="1:17">
      <c r="A13" s="8">
        <v>112</v>
      </c>
      <c r="B13" s="8" t="s">
        <v>37</v>
      </c>
      <c r="C13" s="8" t="str">
        <f t="shared" si="0"/>
        <v>Anjali Mehta</v>
      </c>
      <c r="D13" s="8" t="s">
        <v>9</v>
      </c>
      <c r="E13" s="8" t="str">
        <f t="shared" si="1"/>
        <v>Hr</v>
      </c>
      <c r="F13" s="8" t="s">
        <v>38</v>
      </c>
      <c r="G13" s="8" t="str">
        <f t="shared" si="2"/>
        <v>anjali@gmail.com</v>
      </c>
      <c r="H13" s="8">
        <v>27000</v>
      </c>
      <c r="I13" s="8">
        <f t="shared" si="3"/>
        <v>27000</v>
      </c>
      <c r="J13" s="10">
        <v>45217</v>
      </c>
      <c r="K13" s="8">
        <v>2000</v>
      </c>
      <c r="L13" s="8">
        <f t="shared" si="4"/>
        <v>2000</v>
      </c>
      <c r="M13" s="8" t="s">
        <v>11</v>
      </c>
      <c r="N13" t="str">
        <f t="shared" si="5"/>
        <v>Suresh</v>
      </c>
      <c r="O13">
        <f t="shared" si="6"/>
        <v>29000</v>
      </c>
      <c r="Q13" s="12"/>
    </row>
    <row r="14" spans="1:17">
      <c r="A14" s="8">
        <v>113</v>
      </c>
      <c r="B14" s="8" t="s">
        <v>39</v>
      </c>
      <c r="C14" s="8" t="str">
        <f t="shared" si="0"/>
        <v>Raj Patel</v>
      </c>
      <c r="D14" s="8" t="s">
        <v>22</v>
      </c>
      <c r="E14" s="8" t="str">
        <f t="shared" si="1"/>
        <v>Finance</v>
      </c>
      <c r="F14" s="8" t="s">
        <v>40</v>
      </c>
      <c r="G14" s="8" t="str">
        <f t="shared" si="2"/>
        <v>raj@gmail.com</v>
      </c>
      <c r="H14" s="8">
        <v>42000</v>
      </c>
      <c r="I14" s="8">
        <f t="shared" si="3"/>
        <v>42000</v>
      </c>
      <c r="J14" s="10">
        <v>45221</v>
      </c>
      <c r="K14" s="8">
        <v>4500</v>
      </c>
      <c r="L14" s="8">
        <f t="shared" si="4"/>
        <v>4500</v>
      </c>
      <c r="M14" s="8" t="s">
        <v>24</v>
      </c>
      <c r="N14" t="str">
        <f t="shared" si="5"/>
        <v>Kavitha</v>
      </c>
      <c r="O14">
        <f t="shared" si="6"/>
        <v>46500</v>
      </c>
      <c r="Q14" s="12"/>
    </row>
    <row r="15" spans="1:17">
      <c r="A15" s="8">
        <v>114</v>
      </c>
      <c r="B15" s="8" t="s">
        <v>41</v>
      </c>
      <c r="C15" s="8" t="str">
        <f t="shared" si="0"/>
        <v>Neha Joshi</v>
      </c>
      <c r="D15" s="8" t="s">
        <v>13</v>
      </c>
      <c r="E15" s="8" t="str">
        <f t="shared" si="1"/>
        <v>It</v>
      </c>
      <c r="F15" s="8" t="s">
        <v>42</v>
      </c>
      <c r="G15" s="8" t="str">
        <f t="shared" si="2"/>
        <v>neha@gmail.com</v>
      </c>
      <c r="H15" s="8"/>
      <c r="I15" s="8">
        <f t="shared" si="3"/>
        <v>32091</v>
      </c>
      <c r="J15" s="10">
        <v>45260</v>
      </c>
      <c r="K15" s="8">
        <v>1700</v>
      </c>
      <c r="L15" s="8">
        <f t="shared" si="4"/>
        <v>1700</v>
      </c>
      <c r="M15" s="8" t="s">
        <v>15</v>
      </c>
      <c r="N15" t="str">
        <f t="shared" si="5"/>
        <v>Mahesh</v>
      </c>
      <c r="O15">
        <f t="shared" si="6"/>
        <v>33791</v>
      </c>
      <c r="Q15" s="12"/>
    </row>
    <row r="16" spans="1:17">
      <c r="A16" s="8">
        <v>115</v>
      </c>
      <c r="B16" s="8" t="s">
        <v>43</v>
      </c>
      <c r="C16" s="8" t="str">
        <f t="shared" si="0"/>
        <v>Kiran Das</v>
      </c>
      <c r="D16" s="8" t="s">
        <v>17</v>
      </c>
      <c r="E16" s="8" t="str">
        <f t="shared" si="1"/>
        <v>Sales</v>
      </c>
      <c r="F16" s="8" t="s">
        <v>44</v>
      </c>
      <c r="G16" s="8" t="str">
        <f t="shared" si="2"/>
        <v>kiran@gmail.com</v>
      </c>
      <c r="H16" s="8">
        <v>26000</v>
      </c>
      <c r="I16" s="8">
        <f t="shared" si="3"/>
        <v>26000</v>
      </c>
      <c r="J16" s="10">
        <v>45275</v>
      </c>
      <c r="K16" s="8"/>
      <c r="L16" s="8">
        <f t="shared" si="4"/>
        <v>0</v>
      </c>
      <c r="M16" s="8" t="s">
        <v>11</v>
      </c>
      <c r="N16" t="str">
        <f t="shared" si="5"/>
        <v>Suresh</v>
      </c>
      <c r="O16">
        <f t="shared" si="6"/>
        <v>26000</v>
      </c>
      <c r="Q16" s="12"/>
    </row>
    <row r="17" spans="1:15">
      <c r="A17" s="8">
        <v>116</v>
      </c>
      <c r="B17" s="8" t="s">
        <v>45</v>
      </c>
      <c r="C17" s="8" t="str">
        <f t="shared" si="0"/>
        <v>Pooja Nair</v>
      </c>
      <c r="D17" s="8" t="s">
        <v>9</v>
      </c>
      <c r="E17" s="8" t="str">
        <f t="shared" si="1"/>
        <v>Hr</v>
      </c>
      <c r="F17" s="8" t="s">
        <v>46</v>
      </c>
      <c r="G17" s="8" t="str">
        <f t="shared" si="2"/>
        <v>pooja@gmail.com</v>
      </c>
      <c r="H17" s="8">
        <v>28000</v>
      </c>
      <c r="I17" s="8">
        <f t="shared" si="3"/>
        <v>28000</v>
      </c>
      <c r="J17" s="10">
        <v>45296</v>
      </c>
      <c r="K17" s="8">
        <v>1900</v>
      </c>
      <c r="L17" s="8">
        <f t="shared" si="4"/>
        <v>1900</v>
      </c>
      <c r="M17" s="8" t="s">
        <v>24</v>
      </c>
      <c r="N17" t="str">
        <f t="shared" si="5"/>
        <v>Kavitha</v>
      </c>
      <c r="O17">
        <f t="shared" si="6"/>
        <v>29900</v>
      </c>
    </row>
    <row r="18" spans="1:15">
      <c r="A18" s="8">
        <v>117</v>
      </c>
      <c r="B18" s="8" t="s">
        <v>47</v>
      </c>
      <c r="C18" s="8" t="str">
        <f t="shared" si="0"/>
        <v>Aman Gupta</v>
      </c>
      <c r="D18" s="8" t="s">
        <v>22</v>
      </c>
      <c r="E18" s="8" t="str">
        <f t="shared" si="1"/>
        <v>Finance</v>
      </c>
      <c r="F18" s="8" t="s">
        <v>48</v>
      </c>
      <c r="G18" s="8" t="str">
        <f t="shared" si="2"/>
        <v>aman@gmail.com</v>
      </c>
      <c r="H18" s="8">
        <v>39000</v>
      </c>
      <c r="I18" s="8">
        <f t="shared" si="3"/>
        <v>39000</v>
      </c>
      <c r="J18" s="10">
        <v>45303</v>
      </c>
      <c r="K18" s="8">
        <v>3600</v>
      </c>
      <c r="L18" s="8">
        <f t="shared" si="4"/>
        <v>3600</v>
      </c>
      <c r="M18" s="8" t="s">
        <v>24</v>
      </c>
      <c r="N18" t="str">
        <f t="shared" si="5"/>
        <v>Kavitha</v>
      </c>
      <c r="O18">
        <f t="shared" si="6"/>
        <v>42600</v>
      </c>
    </row>
    <row r="19" spans="1:15">
      <c r="A19" s="8">
        <v>118</v>
      </c>
      <c r="B19" s="8" t="s">
        <v>49</v>
      </c>
      <c r="C19" s="8" t="str">
        <f t="shared" si="0"/>
        <v>Ritu Jain</v>
      </c>
      <c r="D19" s="8" t="s">
        <v>13</v>
      </c>
      <c r="E19" s="8" t="str">
        <f t="shared" si="1"/>
        <v>It</v>
      </c>
      <c r="F19" s="8" t="s">
        <v>50</v>
      </c>
      <c r="G19" s="8" t="str">
        <f t="shared" si="2"/>
        <v>ritu@gmail.com</v>
      </c>
      <c r="H19" s="8">
        <v>31000</v>
      </c>
      <c r="I19" s="8">
        <f t="shared" si="3"/>
        <v>31000</v>
      </c>
      <c r="J19" s="10">
        <v>45316</v>
      </c>
      <c r="K19" s="8"/>
      <c r="L19" s="8">
        <f t="shared" si="4"/>
        <v>0</v>
      </c>
      <c r="M19" s="8" t="s">
        <v>15</v>
      </c>
      <c r="N19" t="str">
        <f t="shared" si="5"/>
        <v>Mahesh</v>
      </c>
      <c r="O19">
        <f t="shared" si="6"/>
        <v>31000</v>
      </c>
    </row>
    <row r="20" spans="1:15">
      <c r="A20" s="8">
        <v>119</v>
      </c>
      <c r="B20" s="8" t="s">
        <v>51</v>
      </c>
      <c r="C20" s="8" t="str">
        <f t="shared" si="0"/>
        <v>Mohan Rao</v>
      </c>
      <c r="D20" s="8" t="s">
        <v>17</v>
      </c>
      <c r="E20" s="8" t="str">
        <f t="shared" si="1"/>
        <v>Sales</v>
      </c>
      <c r="F20" s="8" t="s">
        <v>52</v>
      </c>
      <c r="G20" s="8" t="str">
        <f t="shared" si="2"/>
        <v>mohan@gmail.com</v>
      </c>
      <c r="H20" s="8">
        <v>27500</v>
      </c>
      <c r="I20" s="8">
        <f t="shared" si="3"/>
        <v>27500</v>
      </c>
      <c r="J20" s="10">
        <v>45323</v>
      </c>
      <c r="K20" s="8">
        <v>2000</v>
      </c>
      <c r="L20" s="8">
        <f t="shared" si="4"/>
        <v>2000</v>
      </c>
      <c r="M20" s="8" t="s">
        <v>11</v>
      </c>
      <c r="N20" t="str">
        <f t="shared" si="5"/>
        <v>Suresh</v>
      </c>
      <c r="O20">
        <f t="shared" si="6"/>
        <v>29500</v>
      </c>
    </row>
    <row r="21" spans="1:15">
      <c r="A21" s="8">
        <v>120</v>
      </c>
      <c r="B21" s="8" t="s">
        <v>53</v>
      </c>
      <c r="C21" s="8" t="str">
        <f t="shared" si="0"/>
        <v>Sunita Devi</v>
      </c>
      <c r="D21" s="8" t="s">
        <v>9</v>
      </c>
      <c r="E21" s="8" t="str">
        <f t="shared" si="1"/>
        <v>Hr</v>
      </c>
      <c r="F21" s="8" t="s">
        <v>54</v>
      </c>
      <c r="G21" s="8" t="str">
        <f t="shared" si="2"/>
        <v>sunita@gmail.com</v>
      </c>
      <c r="H21" s="8">
        <v>26500</v>
      </c>
      <c r="I21" s="8">
        <f t="shared" si="3"/>
        <v>26500</v>
      </c>
      <c r="J21" s="10">
        <v>45332</v>
      </c>
      <c r="K21" s="8">
        <v>1800</v>
      </c>
      <c r="L21" s="8">
        <f t="shared" si="4"/>
        <v>1800</v>
      </c>
      <c r="M21" s="8" t="s">
        <v>24</v>
      </c>
      <c r="N21" t="str">
        <f t="shared" si="5"/>
        <v>Kavitha</v>
      </c>
      <c r="O21">
        <f t="shared" si="6"/>
        <v>28300</v>
      </c>
    </row>
    <row r="22" spans="1:15">
      <c r="A22" s="8">
        <v>121</v>
      </c>
      <c r="B22" s="8" t="s">
        <v>55</v>
      </c>
      <c r="C22" s="8" t="str">
        <f t="shared" si="0"/>
        <v>Deepak Kumar</v>
      </c>
      <c r="D22" s="8" t="s">
        <v>13</v>
      </c>
      <c r="E22" s="8" t="str">
        <f t="shared" si="1"/>
        <v>It</v>
      </c>
      <c r="F22" s="8" t="s">
        <v>56</v>
      </c>
      <c r="G22" s="8" t="str">
        <f t="shared" si="2"/>
        <v>deepak@gmail.com</v>
      </c>
      <c r="H22" s="8">
        <v>33000</v>
      </c>
      <c r="I22" s="8">
        <f t="shared" si="3"/>
        <v>33000</v>
      </c>
      <c r="J22" s="10">
        <v>45337</v>
      </c>
      <c r="K22" s="8">
        <v>2200</v>
      </c>
      <c r="L22" s="8">
        <f t="shared" si="4"/>
        <v>2200</v>
      </c>
      <c r="M22" s="8" t="s">
        <v>15</v>
      </c>
      <c r="N22" t="str">
        <f t="shared" si="5"/>
        <v>Mahesh</v>
      </c>
      <c r="O22">
        <f t="shared" si="6"/>
        <v>35200</v>
      </c>
    </row>
    <row r="23" spans="1:15">
      <c r="A23" s="8">
        <v>122</v>
      </c>
      <c r="B23" s="8" t="s">
        <v>57</v>
      </c>
      <c r="C23" s="8" t="str">
        <f t="shared" si="0"/>
        <v>Varun Kapoor</v>
      </c>
      <c r="D23" s="8" t="s">
        <v>22</v>
      </c>
      <c r="E23" s="8" t="str">
        <f t="shared" si="1"/>
        <v>Finance</v>
      </c>
      <c r="F23" s="8" t="s">
        <v>58</v>
      </c>
      <c r="G23" s="8" t="str">
        <f t="shared" si="2"/>
        <v>varun@gmail.com</v>
      </c>
      <c r="H23" s="8"/>
      <c r="I23" s="8">
        <f t="shared" si="3"/>
        <v>32091</v>
      </c>
      <c r="J23" s="10">
        <v>45342</v>
      </c>
      <c r="K23" s="8">
        <v>3000</v>
      </c>
      <c r="L23" s="8">
        <f t="shared" si="4"/>
        <v>3000</v>
      </c>
      <c r="M23" s="8" t="s">
        <v>24</v>
      </c>
      <c r="N23" t="str">
        <f t="shared" si="5"/>
        <v>Kavitha</v>
      </c>
      <c r="O23">
        <f t="shared" si="6"/>
        <v>35091</v>
      </c>
    </row>
    <row r="24" spans="1:15">
      <c r="A24" s="8">
        <v>123</v>
      </c>
      <c r="B24" s="8" t="s">
        <v>59</v>
      </c>
      <c r="C24" s="8" t="str">
        <f t="shared" si="0"/>
        <v>Nisha Verma</v>
      </c>
      <c r="D24" s="8" t="s">
        <v>17</v>
      </c>
      <c r="E24" s="8" t="str">
        <f t="shared" si="1"/>
        <v>Sales</v>
      </c>
      <c r="F24" s="8" t="s">
        <v>60</v>
      </c>
      <c r="G24" s="8" t="str">
        <f t="shared" si="2"/>
        <v>nisha@gmail.com</v>
      </c>
      <c r="H24" s="8">
        <v>29500</v>
      </c>
      <c r="I24" s="8">
        <f t="shared" si="3"/>
        <v>29500</v>
      </c>
      <c r="J24" s="10">
        <v>45352</v>
      </c>
      <c r="K24" s="8"/>
      <c r="L24" s="8">
        <f t="shared" si="4"/>
        <v>0</v>
      </c>
      <c r="M24" s="8" t="s">
        <v>11</v>
      </c>
      <c r="N24" t="str">
        <f t="shared" si="5"/>
        <v>Suresh</v>
      </c>
      <c r="O24">
        <f t="shared" si="6"/>
        <v>29500</v>
      </c>
    </row>
    <row r="25" spans="1:15">
      <c r="A25" s="8">
        <v>124</v>
      </c>
      <c r="B25" s="8" t="s">
        <v>61</v>
      </c>
      <c r="C25" s="8" t="str">
        <f t="shared" si="0"/>
        <v>Rahul Singh</v>
      </c>
      <c r="D25" s="8" t="s">
        <v>9</v>
      </c>
      <c r="E25" s="8" t="str">
        <f t="shared" si="1"/>
        <v>Hr</v>
      </c>
      <c r="F25" s="8" t="s">
        <v>62</v>
      </c>
      <c r="G25" s="8" t="str">
        <f t="shared" si="2"/>
        <v>rahul@gmail.com</v>
      </c>
      <c r="H25" s="8">
        <v>28500</v>
      </c>
      <c r="I25" s="8">
        <f t="shared" si="3"/>
        <v>28500</v>
      </c>
      <c r="J25" s="10">
        <v>45356</v>
      </c>
      <c r="K25" s="8">
        <v>2100</v>
      </c>
      <c r="L25" s="8">
        <f t="shared" si="4"/>
        <v>2100</v>
      </c>
      <c r="M25" s="8" t="s">
        <v>24</v>
      </c>
      <c r="N25" t="str">
        <f t="shared" si="5"/>
        <v>Kavitha</v>
      </c>
      <c r="O25">
        <f t="shared" si="6"/>
        <v>30600</v>
      </c>
    </row>
    <row r="26" spans="1:15">
      <c r="A26" s="8">
        <v>125</v>
      </c>
      <c r="B26" s="8" t="s">
        <v>63</v>
      </c>
      <c r="C26" s="8" t="str">
        <f t="shared" si="0"/>
        <v>Kavita Sharma</v>
      </c>
      <c r="D26" s="8" t="s">
        <v>13</v>
      </c>
      <c r="E26" s="8" t="str">
        <f t="shared" si="1"/>
        <v>It</v>
      </c>
      <c r="F26" s="8" t="s">
        <v>64</v>
      </c>
      <c r="G26" s="8" t="str">
        <f t="shared" si="2"/>
        <v>kavita@gmail.com</v>
      </c>
      <c r="H26" s="8">
        <v>34000</v>
      </c>
      <c r="I26" s="8">
        <f t="shared" si="3"/>
        <v>34000</v>
      </c>
      <c r="J26" s="10">
        <v>45361</v>
      </c>
      <c r="K26" s="8"/>
      <c r="L26" s="8">
        <f t="shared" si="4"/>
        <v>0</v>
      </c>
      <c r="M26" s="8" t="s">
        <v>15</v>
      </c>
      <c r="N26" t="str">
        <f t="shared" si="5"/>
        <v>Mahesh</v>
      </c>
      <c r="O26">
        <f t="shared" si="6"/>
        <v>34000</v>
      </c>
    </row>
    <row r="27" spans="1:15">
      <c r="A27" s="8">
        <v>126</v>
      </c>
      <c r="B27" s="8" t="s">
        <v>65</v>
      </c>
      <c r="C27" s="8" t="str">
        <f t="shared" si="0"/>
        <v>Tarun Mehta</v>
      </c>
      <c r="D27" s="8" t="s">
        <v>22</v>
      </c>
      <c r="E27" s="8" t="str">
        <f t="shared" si="1"/>
        <v>Finance</v>
      </c>
      <c r="F27" s="8" t="s">
        <v>66</v>
      </c>
      <c r="G27" s="8" t="str">
        <f t="shared" si="2"/>
        <v>tarun@gmail.com</v>
      </c>
      <c r="H27" s="8">
        <v>41000</v>
      </c>
      <c r="I27" s="8">
        <f t="shared" si="3"/>
        <v>41000</v>
      </c>
      <c r="J27" s="10">
        <v>45366</v>
      </c>
      <c r="K27" s="8">
        <v>3800</v>
      </c>
      <c r="L27" s="8">
        <f t="shared" si="4"/>
        <v>3800</v>
      </c>
      <c r="M27" s="8" t="s">
        <v>24</v>
      </c>
      <c r="N27" t="str">
        <f t="shared" si="5"/>
        <v>Kavitha</v>
      </c>
      <c r="O27">
        <f t="shared" si="6"/>
        <v>44800</v>
      </c>
    </row>
    <row r="28" spans="1:15">
      <c r="A28" s="8">
        <v>127</v>
      </c>
      <c r="B28" s="8" t="s">
        <v>67</v>
      </c>
      <c r="C28" s="8" t="str">
        <f t="shared" si="0"/>
        <v>Pawan Kumar</v>
      </c>
      <c r="D28" s="8" t="s">
        <v>17</v>
      </c>
      <c r="E28" s="8" t="str">
        <f t="shared" si="1"/>
        <v>Sales</v>
      </c>
      <c r="F28" s="8" t="s">
        <v>68</v>
      </c>
      <c r="G28" s="8" t="str">
        <f t="shared" si="2"/>
        <v>pawan@gmail.com</v>
      </c>
      <c r="H28" s="8">
        <v>26500</v>
      </c>
      <c r="I28" s="8">
        <f t="shared" si="3"/>
        <v>26500</v>
      </c>
      <c r="J28" s="10">
        <v>45371</v>
      </c>
      <c r="K28" s="8"/>
      <c r="L28" s="8">
        <f t="shared" si="4"/>
        <v>0</v>
      </c>
      <c r="M28" s="8" t="s">
        <v>11</v>
      </c>
      <c r="N28" t="str">
        <f t="shared" si="5"/>
        <v>Suresh</v>
      </c>
      <c r="O28">
        <f t="shared" si="6"/>
        <v>26500</v>
      </c>
    </row>
    <row r="29" spans="1:15">
      <c r="A29" s="8">
        <v>128</v>
      </c>
      <c r="B29" s="8" t="s">
        <v>69</v>
      </c>
      <c r="C29" s="8" t="str">
        <f t="shared" si="0"/>
        <v>Divya Nair</v>
      </c>
      <c r="D29" s="8" t="s">
        <v>9</v>
      </c>
      <c r="E29" s="8" t="str">
        <f t="shared" si="1"/>
        <v>Hr</v>
      </c>
      <c r="F29" s="8" t="s">
        <v>70</v>
      </c>
      <c r="G29" s="8" t="str">
        <f t="shared" si="2"/>
        <v>divya@gmail.com</v>
      </c>
      <c r="H29" s="8"/>
      <c r="I29" s="8">
        <f t="shared" si="3"/>
        <v>32091</v>
      </c>
      <c r="J29" s="10">
        <v>45376</v>
      </c>
      <c r="K29" s="8">
        <v>1900</v>
      </c>
      <c r="L29" s="8">
        <f t="shared" si="4"/>
        <v>1900</v>
      </c>
      <c r="M29" s="8" t="s">
        <v>24</v>
      </c>
      <c r="N29" t="str">
        <f t="shared" si="5"/>
        <v>Kavitha</v>
      </c>
      <c r="O29">
        <f t="shared" si="6"/>
        <v>33991</v>
      </c>
    </row>
    <row r="30" spans="1:15">
      <c r="A30" s="8">
        <v>129</v>
      </c>
      <c r="B30" s="8" t="s">
        <v>71</v>
      </c>
      <c r="C30" s="8" t="str">
        <f t="shared" si="0"/>
        <v>Karthik Rao</v>
      </c>
      <c r="D30" s="8" t="s">
        <v>13</v>
      </c>
      <c r="E30" s="8" t="str">
        <f t="shared" si="1"/>
        <v>It</v>
      </c>
      <c r="F30" s="8" t="s">
        <v>72</v>
      </c>
      <c r="G30" s="8" t="str">
        <f t="shared" si="2"/>
        <v>karthik@gmail.com</v>
      </c>
      <c r="H30" s="8">
        <v>36000</v>
      </c>
      <c r="I30" s="8">
        <f t="shared" si="3"/>
        <v>36000</v>
      </c>
      <c r="J30" s="10">
        <v>45383</v>
      </c>
      <c r="K30" s="8"/>
      <c r="L30" s="8">
        <f t="shared" si="4"/>
        <v>0</v>
      </c>
      <c r="M30" s="8" t="s">
        <v>15</v>
      </c>
      <c r="N30" t="str">
        <f t="shared" si="5"/>
        <v>Mahesh</v>
      </c>
      <c r="O30">
        <f t="shared" si="6"/>
        <v>36000</v>
      </c>
    </row>
    <row r="31" spans="1:15">
      <c r="A31" s="8">
        <v>130</v>
      </c>
      <c r="B31" s="8" t="s">
        <v>73</v>
      </c>
      <c r="C31" s="8" t="str">
        <f t="shared" si="0"/>
        <v>Rekha Das</v>
      </c>
      <c r="D31" s="8" t="s">
        <v>22</v>
      </c>
      <c r="E31" s="8" t="str">
        <f t="shared" si="1"/>
        <v>Finance</v>
      </c>
      <c r="F31" s="8" t="s">
        <v>74</v>
      </c>
      <c r="G31" s="8" t="str">
        <f t="shared" si="2"/>
        <v>rekha@gmail.com</v>
      </c>
      <c r="H31" s="8">
        <v>43000</v>
      </c>
      <c r="I31" s="8">
        <f t="shared" si="3"/>
        <v>43000</v>
      </c>
      <c r="J31" s="10">
        <v>45387</v>
      </c>
      <c r="K31" s="8">
        <v>4000</v>
      </c>
      <c r="L31" s="8">
        <f t="shared" si="4"/>
        <v>4000</v>
      </c>
      <c r="M31" s="8" t="s">
        <v>24</v>
      </c>
      <c r="N31" t="str">
        <f t="shared" si="5"/>
        <v>Kavitha</v>
      </c>
      <c r="O31">
        <f t="shared" si="6"/>
        <v>47000</v>
      </c>
    </row>
    <row r="32" spans="1:15">
      <c r="A32" s="8">
        <v>131</v>
      </c>
      <c r="B32" s="8" t="s">
        <v>75</v>
      </c>
      <c r="C32" s="8" t="str">
        <f t="shared" si="0"/>
        <v>Ram Kumar</v>
      </c>
      <c r="D32" s="8" t="s">
        <v>9</v>
      </c>
      <c r="E32" s="8" t="str">
        <f t="shared" si="1"/>
        <v>Hr</v>
      </c>
      <c r="F32" s="8" t="s">
        <v>10</v>
      </c>
      <c r="G32" s="8" t="str">
        <f t="shared" si="2"/>
        <v>ram@gmail.com</v>
      </c>
      <c r="H32" s="8">
        <v>25000</v>
      </c>
      <c r="I32" s="8">
        <f t="shared" si="3"/>
        <v>25000</v>
      </c>
      <c r="J32" s="10">
        <v>44938</v>
      </c>
      <c r="K32" s="8">
        <v>2000</v>
      </c>
      <c r="L32" s="8">
        <f t="shared" si="4"/>
        <v>2000</v>
      </c>
      <c r="M32" s="8" t="s">
        <v>11</v>
      </c>
      <c r="N32" t="str">
        <f t="shared" si="5"/>
        <v>Suresh</v>
      </c>
      <c r="O32">
        <f t="shared" si="6"/>
        <v>27000</v>
      </c>
    </row>
    <row r="33" spans="1:15">
      <c r="A33" s="8">
        <v>132</v>
      </c>
      <c r="B33" s="8" t="s">
        <v>76</v>
      </c>
      <c r="C33" s="8" t="str">
        <f t="shared" si="0"/>
        <v>Sita Devi</v>
      </c>
      <c r="D33" s="8" t="s">
        <v>13</v>
      </c>
      <c r="E33" s="8" t="str">
        <f t="shared" si="1"/>
        <v>It</v>
      </c>
      <c r="F33" s="8" t="s">
        <v>14</v>
      </c>
      <c r="G33" s="8" t="str">
        <f t="shared" si="2"/>
        <v>sita@gmail.com</v>
      </c>
      <c r="H33" s="8">
        <v>30000</v>
      </c>
      <c r="I33" s="8">
        <f t="shared" si="3"/>
        <v>30000</v>
      </c>
      <c r="J33" s="10">
        <v>44972</v>
      </c>
      <c r="K33" s="8"/>
      <c r="L33" s="8">
        <f t="shared" si="4"/>
        <v>0</v>
      </c>
      <c r="M33" s="8" t="s">
        <v>15</v>
      </c>
      <c r="N33" t="str">
        <f t="shared" si="5"/>
        <v>Mahesh</v>
      </c>
      <c r="O33">
        <f t="shared" si="6"/>
        <v>30000</v>
      </c>
    </row>
    <row r="34" spans="1:15">
      <c r="A34" s="8">
        <v>133</v>
      </c>
      <c r="B34" s="8" t="s">
        <v>16</v>
      </c>
      <c r="C34" s="8" t="str">
        <f t="shared" si="0"/>
        <v>Ravi Kumar</v>
      </c>
      <c r="D34" s="8" t="s">
        <v>17</v>
      </c>
      <c r="E34" s="8" t="str">
        <f t="shared" si="1"/>
        <v>Sales</v>
      </c>
      <c r="F34" s="8" t="s">
        <v>18</v>
      </c>
      <c r="G34" s="8" t="str">
        <f t="shared" si="2"/>
        <v>ravi@gmail.com</v>
      </c>
      <c r="H34" s="8">
        <v>28000</v>
      </c>
      <c r="I34" s="8">
        <f t="shared" si="3"/>
        <v>28000</v>
      </c>
      <c r="J34" s="10">
        <v>45003</v>
      </c>
      <c r="K34" s="8">
        <v>2500</v>
      </c>
      <c r="L34" s="8">
        <f t="shared" si="4"/>
        <v>2500</v>
      </c>
      <c r="M34" s="8" t="s">
        <v>11</v>
      </c>
      <c r="N34" t="str">
        <f t="shared" si="5"/>
        <v>Suresh</v>
      </c>
      <c r="O34">
        <f t="shared" si="6"/>
        <v>30500</v>
      </c>
    </row>
    <row r="35" spans="1:15">
      <c r="A35" s="8">
        <v>134</v>
      </c>
      <c r="B35" s="8" t="s">
        <v>77</v>
      </c>
      <c r="C35" s="8" t="str">
        <f t="shared" ref="C35:C66" si="7">PROPER(TRIM(B35))</f>
        <v>Meena Sharma</v>
      </c>
      <c r="D35" s="8" t="s">
        <v>13</v>
      </c>
      <c r="E35" s="8" t="str">
        <f t="shared" ref="E35:E66" si="8">PROPER(TRIM(D35))</f>
        <v>It</v>
      </c>
      <c r="F35" s="8" t="s">
        <v>20</v>
      </c>
      <c r="G35" s="8" t="str">
        <f t="shared" ref="G35:G66" si="9">IF(F35="","Not Available",F35)</f>
        <v>meena@gmail.com</v>
      </c>
      <c r="H35" s="8">
        <v>35000</v>
      </c>
      <c r="I35" s="8">
        <f t="shared" ref="I35:I66" si="10">IF(H35="",$H$93,H35)</f>
        <v>35000</v>
      </c>
      <c r="J35" s="10">
        <v>45037</v>
      </c>
      <c r="K35" s="8">
        <v>3000</v>
      </c>
      <c r="L35" s="8">
        <f t="shared" ref="L35:L66" si="11">IF(K35="",0,K35)</f>
        <v>3000</v>
      </c>
      <c r="M35" s="8"/>
      <c r="N35" t="str">
        <f t="shared" ref="N35:N66" si="12">IF(M35="","Not Assigned",M35)</f>
        <v>Not Assigned</v>
      </c>
      <c r="O35">
        <f t="shared" ref="O35:O66" si="13">IFERROR(I35+L35,0)</f>
        <v>38000</v>
      </c>
    </row>
    <row r="36" spans="1:15">
      <c r="A36" s="8">
        <v>135</v>
      </c>
      <c r="B36" s="8" t="s">
        <v>78</v>
      </c>
      <c r="C36" s="8" t="str">
        <f t="shared" si="7"/>
        <v>John Rao</v>
      </c>
      <c r="D36" s="8" t="s">
        <v>22</v>
      </c>
      <c r="E36" s="8" t="str">
        <f t="shared" si="8"/>
        <v>Finance</v>
      </c>
      <c r="F36" s="8" t="s">
        <v>23</v>
      </c>
      <c r="G36" s="8" t="str">
        <f t="shared" si="9"/>
        <v>john@gmail.com</v>
      </c>
      <c r="H36" s="8">
        <v>40000</v>
      </c>
      <c r="I36" s="8">
        <f t="shared" si="10"/>
        <v>40000</v>
      </c>
      <c r="J36" s="10">
        <v>45071</v>
      </c>
      <c r="K36" s="8">
        <v>4000</v>
      </c>
      <c r="L36" s="8">
        <f t="shared" si="11"/>
        <v>4000</v>
      </c>
      <c r="M36" s="8" t="s">
        <v>24</v>
      </c>
      <c r="N36" t="str">
        <f t="shared" si="12"/>
        <v>Kavitha</v>
      </c>
      <c r="O36">
        <f t="shared" si="13"/>
        <v>44000</v>
      </c>
    </row>
    <row r="37" spans="1:15">
      <c r="A37" s="8">
        <v>136</v>
      </c>
      <c r="B37" s="8" t="s">
        <v>79</v>
      </c>
      <c r="C37" s="8" t="str">
        <f t="shared" si="7"/>
        <v>Kavya Reddy</v>
      </c>
      <c r="D37" s="8" t="s">
        <v>13</v>
      </c>
      <c r="E37" s="8" t="str">
        <f t="shared" si="8"/>
        <v>It</v>
      </c>
      <c r="F37" s="8" t="s">
        <v>26</v>
      </c>
      <c r="G37" s="8" t="str">
        <f t="shared" si="9"/>
        <v>kavya@gmail.com</v>
      </c>
      <c r="H37" s="8"/>
      <c r="I37" s="8">
        <f t="shared" si="10"/>
        <v>32091</v>
      </c>
      <c r="J37" s="10">
        <v>45078</v>
      </c>
      <c r="K37" s="8">
        <v>1500</v>
      </c>
      <c r="L37" s="8">
        <f t="shared" si="11"/>
        <v>1500</v>
      </c>
      <c r="M37" s="8" t="s">
        <v>15</v>
      </c>
      <c r="N37" t="str">
        <f t="shared" si="12"/>
        <v>Mahesh</v>
      </c>
      <c r="O37">
        <f t="shared" si="13"/>
        <v>33591</v>
      </c>
    </row>
    <row r="38" spans="1:15">
      <c r="A38" s="8">
        <v>137</v>
      </c>
      <c r="B38" s="8" t="s">
        <v>80</v>
      </c>
      <c r="C38" s="8" t="str">
        <f t="shared" si="7"/>
        <v>Arjun Naik</v>
      </c>
      <c r="D38" s="8" t="s">
        <v>17</v>
      </c>
      <c r="E38" s="8" t="str">
        <f t="shared" si="8"/>
        <v>Sales</v>
      </c>
      <c r="F38" s="8" t="s">
        <v>28</v>
      </c>
      <c r="G38" s="8" t="str">
        <f t="shared" si="9"/>
        <v>arjun@gmail.com</v>
      </c>
      <c r="H38" s="8">
        <v>27000</v>
      </c>
      <c r="I38" s="8">
        <f t="shared" si="10"/>
        <v>27000</v>
      </c>
      <c r="J38" s="10">
        <v>45088</v>
      </c>
      <c r="K38" s="8"/>
      <c r="L38" s="8">
        <f t="shared" si="11"/>
        <v>0</v>
      </c>
      <c r="M38" s="8" t="s">
        <v>11</v>
      </c>
      <c r="N38" t="str">
        <f t="shared" si="12"/>
        <v>Suresh</v>
      </c>
      <c r="O38">
        <f t="shared" si="13"/>
        <v>27000</v>
      </c>
    </row>
    <row r="39" spans="1:15">
      <c r="A39" s="8">
        <v>138</v>
      </c>
      <c r="B39" s="8" t="s">
        <v>81</v>
      </c>
      <c r="C39" s="8" t="str">
        <f t="shared" si="7"/>
        <v>Priya Sharma</v>
      </c>
      <c r="D39" s="8" t="s">
        <v>9</v>
      </c>
      <c r="E39" s="8" t="str">
        <f t="shared" si="8"/>
        <v>Hr</v>
      </c>
      <c r="F39" s="8" t="s">
        <v>30</v>
      </c>
      <c r="G39" s="8" t="str">
        <f t="shared" si="9"/>
        <v>priya@gmail.com</v>
      </c>
      <c r="H39" s="8">
        <v>26000</v>
      </c>
      <c r="I39" s="8">
        <f t="shared" si="10"/>
        <v>26000</v>
      </c>
      <c r="J39" s="10">
        <v>45126</v>
      </c>
      <c r="K39" s="8">
        <v>1800</v>
      </c>
      <c r="L39" s="8">
        <f t="shared" si="11"/>
        <v>1800</v>
      </c>
      <c r="M39" s="8" t="s">
        <v>24</v>
      </c>
      <c r="N39" t="str">
        <f t="shared" si="12"/>
        <v>Kavitha</v>
      </c>
      <c r="O39">
        <f t="shared" si="13"/>
        <v>27800</v>
      </c>
    </row>
    <row r="40" spans="1:15">
      <c r="A40" s="8">
        <v>139</v>
      </c>
      <c r="B40" s="8" t="s">
        <v>82</v>
      </c>
      <c r="C40" s="8" t="str">
        <f t="shared" si="7"/>
        <v>Rohit Verma</v>
      </c>
      <c r="D40" s="8" t="s">
        <v>22</v>
      </c>
      <c r="E40" s="8" t="str">
        <f t="shared" si="8"/>
        <v>Finance</v>
      </c>
      <c r="F40" s="8" t="s">
        <v>32</v>
      </c>
      <c r="G40" s="8" t="str">
        <f t="shared" si="9"/>
        <v>rohit@gmail.com</v>
      </c>
      <c r="H40" s="8">
        <v>38000</v>
      </c>
      <c r="I40" s="8">
        <f t="shared" si="10"/>
        <v>38000</v>
      </c>
      <c r="J40" s="10">
        <v>45160</v>
      </c>
      <c r="K40" s="8">
        <v>3500</v>
      </c>
      <c r="L40" s="8">
        <f t="shared" si="11"/>
        <v>3500</v>
      </c>
      <c r="M40" s="8" t="s">
        <v>24</v>
      </c>
      <c r="N40" t="str">
        <f t="shared" si="12"/>
        <v>Kavitha</v>
      </c>
      <c r="O40">
        <f t="shared" si="13"/>
        <v>41500</v>
      </c>
    </row>
    <row r="41" spans="1:15">
      <c r="A41" s="8">
        <v>140</v>
      </c>
      <c r="B41" s="8" t="s">
        <v>83</v>
      </c>
      <c r="C41" s="8" t="str">
        <f t="shared" si="7"/>
        <v>Sneha Iyer</v>
      </c>
      <c r="D41" s="8" t="s">
        <v>13</v>
      </c>
      <c r="E41" s="8" t="str">
        <f t="shared" si="8"/>
        <v>It</v>
      </c>
      <c r="F41" s="8" t="s">
        <v>34</v>
      </c>
      <c r="G41" s="8" t="str">
        <f t="shared" si="9"/>
        <v>sneha@gmail.com</v>
      </c>
      <c r="H41" s="8">
        <v>32000</v>
      </c>
      <c r="I41" s="8">
        <f t="shared" si="10"/>
        <v>32000</v>
      </c>
      <c r="J41" s="10">
        <v>45174</v>
      </c>
      <c r="K41" s="8"/>
      <c r="L41" s="8">
        <f t="shared" si="11"/>
        <v>0</v>
      </c>
      <c r="M41" s="8" t="s">
        <v>15</v>
      </c>
      <c r="N41" t="str">
        <f t="shared" si="12"/>
        <v>Mahesh</v>
      </c>
      <c r="O41">
        <f t="shared" si="13"/>
        <v>32000</v>
      </c>
    </row>
    <row r="42" spans="1:15">
      <c r="A42" s="8">
        <v>141</v>
      </c>
      <c r="B42" s="8" t="s">
        <v>84</v>
      </c>
      <c r="C42" s="8" t="str">
        <f t="shared" si="7"/>
        <v>Ajay Kumar</v>
      </c>
      <c r="D42" s="8" t="s">
        <v>9</v>
      </c>
      <c r="E42" s="8" t="str">
        <f t="shared" si="8"/>
        <v>Hr</v>
      </c>
      <c r="F42" s="8" t="s">
        <v>85</v>
      </c>
      <c r="G42" s="8" t="str">
        <f t="shared" si="9"/>
        <v>ajay@gmail.com</v>
      </c>
      <c r="H42" s="8">
        <v>27000</v>
      </c>
      <c r="I42" s="8">
        <f t="shared" si="10"/>
        <v>27000</v>
      </c>
      <c r="J42" s="10">
        <v>45392</v>
      </c>
      <c r="K42" s="8">
        <v>2000</v>
      </c>
      <c r="L42" s="8">
        <f t="shared" si="11"/>
        <v>2000</v>
      </c>
      <c r="M42" s="8" t="s">
        <v>24</v>
      </c>
      <c r="N42" t="str">
        <f t="shared" si="12"/>
        <v>Kavitha</v>
      </c>
      <c r="O42">
        <f t="shared" si="13"/>
        <v>29000</v>
      </c>
    </row>
    <row r="43" spans="1:15">
      <c r="A43" s="8">
        <v>142</v>
      </c>
      <c r="B43" s="8" t="s">
        <v>86</v>
      </c>
      <c r="C43" s="8" t="str">
        <f t="shared" si="7"/>
        <v>Bhavna Shah</v>
      </c>
      <c r="D43" s="8" t="s">
        <v>13</v>
      </c>
      <c r="E43" s="8" t="str">
        <f t="shared" si="8"/>
        <v>It</v>
      </c>
      <c r="F43" s="8" t="s">
        <v>87</v>
      </c>
      <c r="G43" s="8" t="str">
        <f t="shared" si="9"/>
        <v>bhavna@gmail.com</v>
      </c>
      <c r="H43" s="8"/>
      <c r="I43" s="8">
        <f t="shared" si="10"/>
        <v>32091</v>
      </c>
      <c r="J43" s="10">
        <v>45394</v>
      </c>
      <c r="K43" s="8"/>
      <c r="L43" s="8">
        <f t="shared" si="11"/>
        <v>0</v>
      </c>
      <c r="M43" s="8" t="s">
        <v>15</v>
      </c>
      <c r="N43" t="str">
        <f t="shared" si="12"/>
        <v>Mahesh</v>
      </c>
      <c r="O43">
        <f t="shared" si="13"/>
        <v>32091</v>
      </c>
    </row>
    <row r="44" spans="1:15">
      <c r="A44" s="8">
        <v>143</v>
      </c>
      <c r="B44" s="8" t="s">
        <v>88</v>
      </c>
      <c r="C44" s="8" t="str">
        <f t="shared" si="7"/>
        <v>Chirag Jain</v>
      </c>
      <c r="D44" s="8" t="s">
        <v>17</v>
      </c>
      <c r="E44" s="8" t="str">
        <f t="shared" si="8"/>
        <v>Sales</v>
      </c>
      <c r="F44" s="8" t="s">
        <v>89</v>
      </c>
      <c r="G44" s="8" t="str">
        <f t="shared" si="9"/>
        <v>chirag@gmail.com</v>
      </c>
      <c r="H44" s="8">
        <v>28500</v>
      </c>
      <c r="I44" s="8">
        <f t="shared" si="10"/>
        <v>28500</v>
      </c>
      <c r="J44" s="10">
        <v>45397</v>
      </c>
      <c r="K44" s="8">
        <v>2200</v>
      </c>
      <c r="L44" s="8">
        <f t="shared" si="11"/>
        <v>2200</v>
      </c>
      <c r="M44" s="8" t="s">
        <v>11</v>
      </c>
      <c r="N44" t="str">
        <f t="shared" si="12"/>
        <v>Suresh</v>
      </c>
      <c r="O44">
        <f t="shared" si="13"/>
        <v>30700</v>
      </c>
    </row>
    <row r="45" ht="28.8" spans="1:15">
      <c r="A45" s="8">
        <v>144</v>
      </c>
      <c r="B45" s="8" t="s">
        <v>90</v>
      </c>
      <c r="C45" s="8" t="str">
        <f t="shared" si="7"/>
        <v>Deepika Rao</v>
      </c>
      <c r="D45" s="8" t="s">
        <v>22</v>
      </c>
      <c r="E45" s="8" t="str">
        <f t="shared" si="8"/>
        <v>Finance</v>
      </c>
      <c r="F45" s="8" t="s">
        <v>91</v>
      </c>
      <c r="G45" s="8" t="str">
        <f t="shared" si="9"/>
        <v>deepika@gmail.com</v>
      </c>
      <c r="H45" s="8">
        <v>39500</v>
      </c>
      <c r="I45" s="8">
        <f t="shared" si="10"/>
        <v>39500</v>
      </c>
      <c r="J45" s="10">
        <v>45400</v>
      </c>
      <c r="K45" s="8"/>
      <c r="L45" s="8">
        <f t="shared" si="11"/>
        <v>0</v>
      </c>
      <c r="M45" s="8" t="s">
        <v>24</v>
      </c>
      <c r="N45" t="str">
        <f t="shared" si="12"/>
        <v>Kavitha</v>
      </c>
      <c r="O45">
        <f t="shared" si="13"/>
        <v>39500</v>
      </c>
    </row>
    <row r="46" spans="1:15">
      <c r="A46" s="8">
        <v>145</v>
      </c>
      <c r="B46" s="8" t="s">
        <v>92</v>
      </c>
      <c r="C46" s="8" t="str">
        <f t="shared" si="7"/>
        <v>Esha Gupta</v>
      </c>
      <c r="D46" s="8" t="s">
        <v>9</v>
      </c>
      <c r="E46" s="8" t="str">
        <f t="shared" si="8"/>
        <v>Hr</v>
      </c>
      <c r="F46" s="8" t="s">
        <v>93</v>
      </c>
      <c r="G46" s="8" t="str">
        <f t="shared" si="9"/>
        <v>esha@gmail.com</v>
      </c>
      <c r="H46" s="8">
        <v>26000</v>
      </c>
      <c r="I46" s="8">
        <f t="shared" si="10"/>
        <v>26000</v>
      </c>
      <c r="J46" s="10">
        <v>45402</v>
      </c>
      <c r="K46" s="8">
        <v>1800</v>
      </c>
      <c r="L46" s="8">
        <f t="shared" si="11"/>
        <v>1800</v>
      </c>
      <c r="M46" s="8" t="s">
        <v>24</v>
      </c>
      <c r="N46" t="str">
        <f t="shared" si="12"/>
        <v>Kavitha</v>
      </c>
      <c r="O46">
        <f t="shared" si="13"/>
        <v>27800</v>
      </c>
    </row>
    <row r="47" spans="1:15">
      <c r="A47" s="8">
        <v>146</v>
      </c>
      <c r="B47" s="8" t="s">
        <v>94</v>
      </c>
      <c r="C47" s="8" t="str">
        <f t="shared" si="7"/>
        <v>Farhan Ali</v>
      </c>
      <c r="D47" s="8" t="s">
        <v>13</v>
      </c>
      <c r="E47" s="8" t="str">
        <f t="shared" si="8"/>
        <v>It</v>
      </c>
      <c r="F47" s="8" t="s">
        <v>95</v>
      </c>
      <c r="G47" s="8" t="str">
        <f t="shared" si="9"/>
        <v>farhan@gmail.com</v>
      </c>
      <c r="H47" s="8">
        <v>34500</v>
      </c>
      <c r="I47" s="8">
        <f t="shared" si="10"/>
        <v>34500</v>
      </c>
      <c r="J47" s="10">
        <v>45404</v>
      </c>
      <c r="K47" s="8"/>
      <c r="L47" s="8">
        <f t="shared" si="11"/>
        <v>0</v>
      </c>
      <c r="M47" s="8" t="s">
        <v>15</v>
      </c>
      <c r="N47" t="str">
        <f t="shared" si="12"/>
        <v>Mahesh</v>
      </c>
      <c r="O47">
        <f t="shared" si="13"/>
        <v>34500</v>
      </c>
    </row>
    <row r="48" spans="1:15">
      <c r="A48" s="8">
        <v>147</v>
      </c>
      <c r="B48" s="8" t="s">
        <v>96</v>
      </c>
      <c r="C48" s="8" t="str">
        <f t="shared" si="7"/>
        <v>Gaurav Singh</v>
      </c>
      <c r="D48" s="8" t="s">
        <v>17</v>
      </c>
      <c r="E48" s="8" t="str">
        <f t="shared" si="8"/>
        <v>Sales</v>
      </c>
      <c r="F48" s="8" t="s">
        <v>97</v>
      </c>
      <c r="G48" s="8" t="str">
        <f t="shared" si="9"/>
        <v>gaurav@gmail.com</v>
      </c>
      <c r="H48" s="8"/>
      <c r="I48" s="8">
        <f t="shared" si="10"/>
        <v>32091</v>
      </c>
      <c r="J48" s="10">
        <v>45407</v>
      </c>
      <c r="K48" s="8">
        <v>2100</v>
      </c>
      <c r="L48" s="8">
        <f t="shared" si="11"/>
        <v>2100</v>
      </c>
      <c r="M48" s="8" t="s">
        <v>11</v>
      </c>
      <c r="N48" t="str">
        <f t="shared" si="12"/>
        <v>Suresh</v>
      </c>
      <c r="O48">
        <f t="shared" si="13"/>
        <v>34191</v>
      </c>
    </row>
    <row r="49" spans="1:15">
      <c r="A49" s="8">
        <v>148</v>
      </c>
      <c r="B49" s="8" t="s">
        <v>98</v>
      </c>
      <c r="C49" s="8" t="str">
        <f t="shared" si="7"/>
        <v>Heena Khan</v>
      </c>
      <c r="D49" s="8" t="s">
        <v>22</v>
      </c>
      <c r="E49" s="8" t="str">
        <f t="shared" si="8"/>
        <v>Finance</v>
      </c>
      <c r="F49" s="8" t="s">
        <v>99</v>
      </c>
      <c r="G49" s="8" t="str">
        <f t="shared" si="9"/>
        <v>heena@gmail.com</v>
      </c>
      <c r="H49" s="8">
        <v>40500</v>
      </c>
      <c r="I49" s="8">
        <f t="shared" si="10"/>
        <v>40500</v>
      </c>
      <c r="J49" s="10">
        <v>45410</v>
      </c>
      <c r="K49" s="8">
        <v>3500</v>
      </c>
      <c r="L49" s="8">
        <f t="shared" si="11"/>
        <v>3500</v>
      </c>
      <c r="M49" s="8" t="s">
        <v>24</v>
      </c>
      <c r="N49" t="str">
        <f t="shared" si="12"/>
        <v>Kavitha</v>
      </c>
      <c r="O49">
        <f t="shared" si="13"/>
        <v>44000</v>
      </c>
    </row>
    <row r="50" spans="1:15">
      <c r="A50" s="8">
        <v>149</v>
      </c>
      <c r="B50" s="8" t="s">
        <v>100</v>
      </c>
      <c r="C50" s="8" t="str">
        <f t="shared" si="7"/>
        <v>Imran Khan</v>
      </c>
      <c r="D50" s="8" t="s">
        <v>9</v>
      </c>
      <c r="E50" s="8" t="str">
        <f t="shared" si="8"/>
        <v>Hr</v>
      </c>
      <c r="F50" s="8" t="s">
        <v>101</v>
      </c>
      <c r="G50" s="8" t="str">
        <f t="shared" si="9"/>
        <v>imran@gmail.com</v>
      </c>
      <c r="H50" s="8">
        <v>25500</v>
      </c>
      <c r="I50" s="8">
        <f t="shared" si="10"/>
        <v>25500</v>
      </c>
      <c r="J50" s="10">
        <v>45413</v>
      </c>
      <c r="K50" s="8"/>
      <c r="L50" s="8">
        <f t="shared" si="11"/>
        <v>0</v>
      </c>
      <c r="M50" s="8" t="s">
        <v>24</v>
      </c>
      <c r="N50" t="str">
        <f t="shared" si="12"/>
        <v>Kavitha</v>
      </c>
      <c r="O50">
        <f t="shared" si="13"/>
        <v>25500</v>
      </c>
    </row>
    <row r="51" spans="1:15">
      <c r="A51" s="8">
        <v>150</v>
      </c>
      <c r="B51" s="8" t="s">
        <v>102</v>
      </c>
      <c r="C51" s="8" t="str">
        <f t="shared" si="7"/>
        <v>Jyoti Verma</v>
      </c>
      <c r="D51" s="8" t="s">
        <v>13</v>
      </c>
      <c r="E51" s="8" t="str">
        <f t="shared" si="8"/>
        <v>It</v>
      </c>
      <c r="F51" s="8" t="s">
        <v>103</v>
      </c>
      <c r="G51" s="8" t="str">
        <f t="shared" si="9"/>
        <v>jyoti@gmail.com</v>
      </c>
      <c r="H51" s="8">
        <v>31500</v>
      </c>
      <c r="I51" s="8">
        <f t="shared" si="10"/>
        <v>31500</v>
      </c>
      <c r="J51" s="10">
        <v>45417</v>
      </c>
      <c r="K51" s="8">
        <v>2000</v>
      </c>
      <c r="L51" s="8">
        <f t="shared" si="11"/>
        <v>2000</v>
      </c>
      <c r="M51" s="8" t="s">
        <v>15</v>
      </c>
      <c r="N51" t="str">
        <f t="shared" si="12"/>
        <v>Mahesh</v>
      </c>
      <c r="O51">
        <f t="shared" si="13"/>
        <v>33500</v>
      </c>
    </row>
    <row r="52" spans="1:15">
      <c r="A52" s="8">
        <v>201</v>
      </c>
      <c r="B52" s="8" t="s">
        <v>104</v>
      </c>
      <c r="C52" s="8" t="str">
        <f t="shared" si="7"/>
        <v>Akash Reddy</v>
      </c>
      <c r="D52" s="8" t="s">
        <v>13</v>
      </c>
      <c r="E52" s="8" t="str">
        <f t="shared" si="8"/>
        <v>It</v>
      </c>
      <c r="F52" s="8" t="s">
        <v>105</v>
      </c>
      <c r="G52" s="8" t="str">
        <f t="shared" si="9"/>
        <v>akash@gmail.com</v>
      </c>
      <c r="H52" s="8">
        <v>32000</v>
      </c>
      <c r="I52" s="8">
        <f t="shared" si="10"/>
        <v>32000</v>
      </c>
      <c r="J52" s="10">
        <v>44927</v>
      </c>
      <c r="K52" s="8">
        <v>2000</v>
      </c>
      <c r="L52" s="8">
        <f t="shared" si="11"/>
        <v>2000</v>
      </c>
      <c r="M52" s="8" t="s">
        <v>15</v>
      </c>
      <c r="N52" t="str">
        <f t="shared" si="12"/>
        <v>Mahesh</v>
      </c>
      <c r="O52">
        <f t="shared" si="13"/>
        <v>34000</v>
      </c>
    </row>
    <row r="53" spans="1:15">
      <c r="A53" s="8">
        <v>202</v>
      </c>
      <c r="B53" s="8" t="s">
        <v>106</v>
      </c>
      <c r="C53" s="8" t="str">
        <f t="shared" si="7"/>
        <v>Neha Sharma</v>
      </c>
      <c r="D53" s="8" t="s">
        <v>9</v>
      </c>
      <c r="E53" s="8" t="str">
        <f t="shared" si="8"/>
        <v>Hr</v>
      </c>
      <c r="F53" s="8" t="s">
        <v>42</v>
      </c>
      <c r="G53" s="8" t="str">
        <f t="shared" si="9"/>
        <v>neha@gmail.com</v>
      </c>
      <c r="H53" s="8">
        <v>28000</v>
      </c>
      <c r="I53" s="8">
        <f t="shared" si="10"/>
        <v>28000</v>
      </c>
      <c r="J53" s="10">
        <v>44929</v>
      </c>
      <c r="K53" s="8"/>
      <c r="L53" s="8">
        <f t="shared" si="11"/>
        <v>0</v>
      </c>
      <c r="M53" s="8" t="s">
        <v>24</v>
      </c>
      <c r="N53" t="str">
        <f t="shared" si="12"/>
        <v>Kavitha</v>
      </c>
      <c r="O53">
        <f t="shared" si="13"/>
        <v>28000</v>
      </c>
    </row>
    <row r="54" spans="1:15">
      <c r="A54" s="8">
        <v>203</v>
      </c>
      <c r="B54" s="8" t="s">
        <v>107</v>
      </c>
      <c r="C54" s="8" t="str">
        <f t="shared" si="7"/>
        <v>Rohan Das</v>
      </c>
      <c r="D54" s="8" t="s">
        <v>17</v>
      </c>
      <c r="E54" s="8" t="str">
        <f t="shared" si="8"/>
        <v>Sales</v>
      </c>
      <c r="F54" s="8" t="s">
        <v>108</v>
      </c>
      <c r="G54" s="8" t="str">
        <f t="shared" si="9"/>
        <v>rohan@gmail.com</v>
      </c>
      <c r="H54" s="8">
        <v>30000</v>
      </c>
      <c r="I54" s="8">
        <f t="shared" si="10"/>
        <v>30000</v>
      </c>
      <c r="J54" s="10">
        <v>44931</v>
      </c>
      <c r="K54" s="8">
        <v>1800</v>
      </c>
      <c r="L54" s="8">
        <f t="shared" si="11"/>
        <v>1800</v>
      </c>
      <c r="M54" s="8" t="s">
        <v>11</v>
      </c>
      <c r="N54" t="str">
        <f t="shared" si="12"/>
        <v>Suresh</v>
      </c>
      <c r="O54">
        <f t="shared" si="13"/>
        <v>31800</v>
      </c>
    </row>
    <row r="55" spans="1:15">
      <c r="A55" s="8">
        <v>204</v>
      </c>
      <c r="B55" s="8" t="s">
        <v>109</v>
      </c>
      <c r="C55" s="8" t="str">
        <f t="shared" si="7"/>
        <v>Meera Nair</v>
      </c>
      <c r="D55" s="8" t="s">
        <v>22</v>
      </c>
      <c r="E55" s="8" t="str">
        <f t="shared" si="8"/>
        <v>Finance</v>
      </c>
      <c r="F55" s="8" t="s">
        <v>110</v>
      </c>
      <c r="G55" s="8" t="str">
        <f t="shared" si="9"/>
        <v>meera@gmail.com</v>
      </c>
      <c r="H55" s="8">
        <v>42000</v>
      </c>
      <c r="I55" s="8">
        <f t="shared" si="10"/>
        <v>42000</v>
      </c>
      <c r="J55" s="10">
        <v>44933</v>
      </c>
      <c r="K55" s="8">
        <v>3500</v>
      </c>
      <c r="L55" s="8">
        <f t="shared" si="11"/>
        <v>3500</v>
      </c>
      <c r="M55" s="8" t="s">
        <v>24</v>
      </c>
      <c r="N55" t="str">
        <f t="shared" si="12"/>
        <v>Kavitha</v>
      </c>
      <c r="O55">
        <f t="shared" si="13"/>
        <v>45500</v>
      </c>
    </row>
    <row r="56" spans="1:15">
      <c r="A56" s="8">
        <v>205</v>
      </c>
      <c r="B56" s="8" t="s">
        <v>111</v>
      </c>
      <c r="C56" s="8" t="str">
        <f t="shared" si="7"/>
        <v>Vikas Kumar</v>
      </c>
      <c r="D56" s="8" t="s">
        <v>13</v>
      </c>
      <c r="E56" s="8" t="str">
        <f t="shared" si="8"/>
        <v>It</v>
      </c>
      <c r="F56" s="8" t="s">
        <v>112</v>
      </c>
      <c r="G56" s="8" t="str">
        <f t="shared" si="9"/>
        <v>vikas@gmail.com</v>
      </c>
      <c r="H56" s="8"/>
      <c r="I56" s="8">
        <f t="shared" si="10"/>
        <v>32091</v>
      </c>
      <c r="J56" s="10">
        <v>44936</v>
      </c>
      <c r="K56" s="8">
        <v>2200</v>
      </c>
      <c r="L56" s="8">
        <f t="shared" si="11"/>
        <v>2200</v>
      </c>
      <c r="M56" s="8" t="s">
        <v>15</v>
      </c>
      <c r="N56" t="str">
        <f t="shared" si="12"/>
        <v>Mahesh</v>
      </c>
      <c r="O56">
        <f t="shared" si="13"/>
        <v>34291</v>
      </c>
    </row>
    <row r="57" spans="1:15">
      <c r="A57" s="8">
        <v>206</v>
      </c>
      <c r="B57" s="8" t="s">
        <v>113</v>
      </c>
      <c r="C57" s="8" t="str">
        <f t="shared" si="7"/>
        <v>Pooja Singh</v>
      </c>
      <c r="D57" s="8" t="s">
        <v>9</v>
      </c>
      <c r="E57" s="8" t="str">
        <f t="shared" si="8"/>
        <v>Hr</v>
      </c>
      <c r="F57" s="8" t="s">
        <v>46</v>
      </c>
      <c r="G57" s="8" t="str">
        <f t="shared" si="9"/>
        <v>pooja@gmail.com</v>
      </c>
      <c r="H57" s="8">
        <v>29000</v>
      </c>
      <c r="I57" s="8">
        <f t="shared" si="10"/>
        <v>29000</v>
      </c>
      <c r="J57" s="10">
        <v>44938</v>
      </c>
      <c r="K57" s="8"/>
      <c r="L57" s="8">
        <f t="shared" si="11"/>
        <v>0</v>
      </c>
      <c r="M57" s="8" t="s">
        <v>24</v>
      </c>
      <c r="N57" t="str">
        <f t="shared" si="12"/>
        <v>Kavitha</v>
      </c>
      <c r="O57">
        <f t="shared" si="13"/>
        <v>29000</v>
      </c>
    </row>
    <row r="58" spans="1:15">
      <c r="A58" s="8">
        <v>207</v>
      </c>
      <c r="B58" s="8" t="s">
        <v>114</v>
      </c>
      <c r="C58" s="8" t="str">
        <f t="shared" si="7"/>
        <v>Arvind Rao</v>
      </c>
      <c r="D58" s="8" t="s">
        <v>17</v>
      </c>
      <c r="E58" s="8" t="str">
        <f t="shared" si="8"/>
        <v>Sales</v>
      </c>
      <c r="F58" s="8" t="s">
        <v>115</v>
      </c>
      <c r="G58" s="8" t="str">
        <f t="shared" si="9"/>
        <v>arvind@gmail.com</v>
      </c>
      <c r="H58" s="8">
        <v>31000</v>
      </c>
      <c r="I58" s="8">
        <f t="shared" si="10"/>
        <v>31000</v>
      </c>
      <c r="J58" s="10">
        <v>44941</v>
      </c>
      <c r="K58" s="8">
        <v>2000</v>
      </c>
      <c r="L58" s="8">
        <f t="shared" si="11"/>
        <v>2000</v>
      </c>
      <c r="M58" s="8" t="s">
        <v>11</v>
      </c>
      <c r="N58" t="str">
        <f t="shared" si="12"/>
        <v>Suresh</v>
      </c>
      <c r="O58">
        <f t="shared" si="13"/>
        <v>33000</v>
      </c>
    </row>
    <row r="59" spans="1:15">
      <c r="A59" s="8">
        <v>208</v>
      </c>
      <c r="B59" s="8" t="s">
        <v>116</v>
      </c>
      <c r="C59" s="8" t="str">
        <f t="shared" si="7"/>
        <v>Sneha Patil</v>
      </c>
      <c r="D59" s="8" t="s">
        <v>13</v>
      </c>
      <c r="E59" s="8" t="str">
        <f t="shared" si="8"/>
        <v>It</v>
      </c>
      <c r="F59" s="8" t="s">
        <v>34</v>
      </c>
      <c r="G59" s="8" t="str">
        <f t="shared" si="9"/>
        <v>sneha@gmail.com</v>
      </c>
      <c r="H59" s="8">
        <v>34000</v>
      </c>
      <c r="I59" s="8">
        <f t="shared" si="10"/>
        <v>34000</v>
      </c>
      <c r="J59" s="10">
        <v>44944</v>
      </c>
      <c r="K59" s="8"/>
      <c r="L59" s="8">
        <f t="shared" si="11"/>
        <v>0</v>
      </c>
      <c r="M59" s="8" t="s">
        <v>15</v>
      </c>
      <c r="N59" t="str">
        <f t="shared" si="12"/>
        <v>Mahesh</v>
      </c>
      <c r="O59">
        <f t="shared" si="13"/>
        <v>34000</v>
      </c>
    </row>
    <row r="60" spans="1:15">
      <c r="A60" s="8">
        <v>209</v>
      </c>
      <c r="B60" s="8" t="s">
        <v>117</v>
      </c>
      <c r="C60" s="8" t="str">
        <f t="shared" si="7"/>
        <v>Kiran Verma</v>
      </c>
      <c r="D60" s="8" t="s">
        <v>22</v>
      </c>
      <c r="E60" s="8" t="str">
        <f t="shared" si="8"/>
        <v>Finance</v>
      </c>
      <c r="F60" s="8" t="s">
        <v>44</v>
      </c>
      <c r="G60" s="8" t="str">
        <f t="shared" si="9"/>
        <v>kiran@gmail.com</v>
      </c>
      <c r="H60" s="8">
        <v>39000</v>
      </c>
      <c r="I60" s="8">
        <f t="shared" si="10"/>
        <v>39000</v>
      </c>
      <c r="J60" s="10">
        <v>44946</v>
      </c>
      <c r="K60" s="8">
        <v>3000</v>
      </c>
      <c r="L60" s="8">
        <f t="shared" si="11"/>
        <v>3000</v>
      </c>
      <c r="M60" s="8" t="s">
        <v>24</v>
      </c>
      <c r="N60" t="str">
        <f t="shared" si="12"/>
        <v>Kavitha</v>
      </c>
      <c r="O60">
        <f t="shared" si="13"/>
        <v>42000</v>
      </c>
    </row>
    <row r="61" spans="1:15">
      <c r="A61" s="8">
        <v>210</v>
      </c>
      <c r="B61" s="8" t="s">
        <v>118</v>
      </c>
      <c r="C61" s="8" t="str">
        <f t="shared" si="7"/>
        <v>Mohit Jain</v>
      </c>
      <c r="D61" s="8" t="s">
        <v>9</v>
      </c>
      <c r="E61" s="8" t="str">
        <f t="shared" si="8"/>
        <v>Hr</v>
      </c>
      <c r="F61" s="8" t="s">
        <v>119</v>
      </c>
      <c r="G61" s="8" t="str">
        <f t="shared" si="9"/>
        <v>mohit@gmail.com</v>
      </c>
      <c r="H61" s="8">
        <v>27000</v>
      </c>
      <c r="I61" s="8">
        <f t="shared" si="10"/>
        <v>27000</v>
      </c>
      <c r="J61" s="10">
        <v>44948</v>
      </c>
      <c r="K61" s="8">
        <v>1500</v>
      </c>
      <c r="L61" s="8">
        <f t="shared" si="11"/>
        <v>1500</v>
      </c>
      <c r="M61" s="8"/>
      <c r="N61" t="str">
        <f t="shared" si="12"/>
        <v>Not Assigned</v>
      </c>
      <c r="O61">
        <f t="shared" si="13"/>
        <v>28500</v>
      </c>
    </row>
    <row r="62" spans="1:15">
      <c r="A62" s="8">
        <v>211</v>
      </c>
      <c r="B62" s="8" t="s">
        <v>120</v>
      </c>
      <c r="C62" s="8" t="str">
        <f t="shared" si="7"/>
        <v>Anil Kumar</v>
      </c>
      <c r="D62" s="8" t="s">
        <v>13</v>
      </c>
      <c r="E62" s="8" t="str">
        <f t="shared" si="8"/>
        <v>It</v>
      </c>
      <c r="F62" s="8" t="s">
        <v>121</v>
      </c>
      <c r="G62" s="8" t="str">
        <f t="shared" si="9"/>
        <v>anil@gmail.com</v>
      </c>
      <c r="H62" s="8">
        <v>36000</v>
      </c>
      <c r="I62" s="8">
        <f t="shared" si="10"/>
        <v>36000</v>
      </c>
      <c r="J62" s="10">
        <v>44951</v>
      </c>
      <c r="K62" s="8"/>
      <c r="L62" s="8">
        <f t="shared" si="11"/>
        <v>0</v>
      </c>
      <c r="M62" s="8" t="s">
        <v>15</v>
      </c>
      <c r="N62" t="str">
        <f t="shared" si="12"/>
        <v>Mahesh</v>
      </c>
      <c r="O62">
        <f t="shared" si="13"/>
        <v>36000</v>
      </c>
    </row>
    <row r="63" spans="1:15">
      <c r="A63" s="8">
        <v>212</v>
      </c>
      <c r="B63" s="8" t="s">
        <v>122</v>
      </c>
      <c r="C63" s="8" t="str">
        <f t="shared" si="7"/>
        <v>Divya Kapoor</v>
      </c>
      <c r="D63" s="8" t="s">
        <v>17</v>
      </c>
      <c r="E63" s="8" t="str">
        <f t="shared" si="8"/>
        <v>Sales</v>
      </c>
      <c r="F63" s="8" t="s">
        <v>70</v>
      </c>
      <c r="G63" s="8" t="str">
        <f t="shared" si="9"/>
        <v>divya@gmail.com</v>
      </c>
      <c r="H63" s="8"/>
      <c r="I63" s="8">
        <f t="shared" si="10"/>
        <v>32091</v>
      </c>
      <c r="J63" s="10">
        <v>44954</v>
      </c>
      <c r="K63" s="8">
        <v>2100</v>
      </c>
      <c r="L63" s="8">
        <f t="shared" si="11"/>
        <v>2100</v>
      </c>
      <c r="M63" s="8" t="s">
        <v>11</v>
      </c>
      <c r="N63" t="str">
        <f t="shared" si="12"/>
        <v>Suresh</v>
      </c>
      <c r="O63">
        <f t="shared" si="13"/>
        <v>34191</v>
      </c>
    </row>
    <row r="64" spans="1:15">
      <c r="A64" s="8">
        <v>213</v>
      </c>
      <c r="B64" s="8" t="s">
        <v>123</v>
      </c>
      <c r="C64" s="8" t="str">
        <f t="shared" si="7"/>
        <v>Rahul Sharma</v>
      </c>
      <c r="D64" s="8" t="s">
        <v>22</v>
      </c>
      <c r="E64" s="8" t="str">
        <f t="shared" si="8"/>
        <v>Finance</v>
      </c>
      <c r="F64" s="8" t="s">
        <v>62</v>
      </c>
      <c r="G64" s="8" t="str">
        <f t="shared" si="9"/>
        <v>rahul@gmail.com</v>
      </c>
      <c r="H64" s="8">
        <v>41000</v>
      </c>
      <c r="I64" s="8">
        <f t="shared" si="10"/>
        <v>41000</v>
      </c>
      <c r="J64" s="10">
        <v>44958</v>
      </c>
      <c r="K64" s="8"/>
      <c r="L64" s="8">
        <f t="shared" si="11"/>
        <v>0</v>
      </c>
      <c r="M64" s="8" t="s">
        <v>24</v>
      </c>
      <c r="N64" t="str">
        <f t="shared" si="12"/>
        <v>Kavitha</v>
      </c>
      <c r="O64">
        <f t="shared" si="13"/>
        <v>41000</v>
      </c>
    </row>
    <row r="65" spans="1:15">
      <c r="A65" s="8">
        <v>214</v>
      </c>
      <c r="B65" s="8" t="s">
        <v>124</v>
      </c>
      <c r="C65" s="8" t="str">
        <f t="shared" si="7"/>
        <v>Nisha Reddy</v>
      </c>
      <c r="D65" s="8" t="s">
        <v>9</v>
      </c>
      <c r="E65" s="8" t="str">
        <f t="shared" si="8"/>
        <v>Hr</v>
      </c>
      <c r="F65" s="8" t="s">
        <v>60</v>
      </c>
      <c r="G65" s="8" t="str">
        <f t="shared" si="9"/>
        <v>nisha@gmail.com</v>
      </c>
      <c r="H65" s="8">
        <v>28000</v>
      </c>
      <c r="I65" s="8">
        <f t="shared" si="10"/>
        <v>28000</v>
      </c>
      <c r="J65" s="10">
        <v>44961</v>
      </c>
      <c r="K65" s="8">
        <v>1700</v>
      </c>
      <c r="L65" s="8">
        <f t="shared" si="11"/>
        <v>1700</v>
      </c>
      <c r="M65" s="8" t="s">
        <v>24</v>
      </c>
      <c r="N65" t="str">
        <f t="shared" si="12"/>
        <v>Kavitha</v>
      </c>
      <c r="O65">
        <f t="shared" si="13"/>
        <v>29700</v>
      </c>
    </row>
    <row r="66" spans="1:15">
      <c r="A66" s="8">
        <v>215</v>
      </c>
      <c r="B66" s="8" t="s">
        <v>125</v>
      </c>
      <c r="C66" s="8" t="str">
        <f t="shared" si="7"/>
        <v>Sameer Khan</v>
      </c>
      <c r="D66" s="8" t="s">
        <v>13</v>
      </c>
      <c r="E66" s="8" t="str">
        <f t="shared" si="8"/>
        <v>It</v>
      </c>
      <c r="F66" s="8" t="s">
        <v>126</v>
      </c>
      <c r="G66" s="8" t="str">
        <f t="shared" si="9"/>
        <v>sameer@gmail.com</v>
      </c>
      <c r="H66" s="8">
        <v>33000</v>
      </c>
      <c r="I66" s="8">
        <f t="shared" si="10"/>
        <v>33000</v>
      </c>
      <c r="J66" s="10">
        <v>44964</v>
      </c>
      <c r="K66" s="8"/>
      <c r="L66" s="8">
        <f t="shared" si="11"/>
        <v>0</v>
      </c>
      <c r="M66" s="8" t="s">
        <v>15</v>
      </c>
      <c r="N66" t="str">
        <f t="shared" si="12"/>
        <v>Mahesh</v>
      </c>
      <c r="O66">
        <f t="shared" si="13"/>
        <v>33000</v>
      </c>
    </row>
    <row r="67" spans="1:15">
      <c r="A67" s="8">
        <v>216</v>
      </c>
      <c r="B67" s="8" t="s">
        <v>127</v>
      </c>
      <c r="C67" s="8" t="str">
        <f t="shared" ref="C67:C91" si="14">PROPER(TRIM(B67))</f>
        <v>Kavita Joshi</v>
      </c>
      <c r="D67" s="8" t="s">
        <v>17</v>
      </c>
      <c r="E67" s="8" t="str">
        <f t="shared" ref="E67:E93" si="15">PROPER(TRIM(D67))</f>
        <v>Sales</v>
      </c>
      <c r="F67" s="8" t="s">
        <v>64</v>
      </c>
      <c r="G67" s="8" t="str">
        <f t="shared" ref="G67:G93" si="16">IF(F67="","Not Available",F67)</f>
        <v>kavita@gmail.com</v>
      </c>
      <c r="H67" s="8">
        <v>30500</v>
      </c>
      <c r="I67" s="8">
        <f t="shared" ref="I67:I92" si="17">IF(H67="",$H$93,H67)</f>
        <v>30500</v>
      </c>
      <c r="J67" s="10">
        <v>44967</v>
      </c>
      <c r="K67" s="8">
        <v>2000</v>
      </c>
      <c r="L67" s="8">
        <f t="shared" ref="L67:L93" si="18">IF(K67="",0,K67)</f>
        <v>2000</v>
      </c>
      <c r="M67" s="8" t="s">
        <v>11</v>
      </c>
      <c r="N67" t="str">
        <f t="shared" ref="N67:N93" si="19">IF(M67="","Not Assigned",M67)</f>
        <v>Suresh</v>
      </c>
      <c r="O67">
        <f t="shared" ref="O67:O93" si="20">IFERROR(I67+L67,0)</f>
        <v>32500</v>
      </c>
    </row>
    <row r="68" spans="1:15">
      <c r="A68" s="8">
        <v>217</v>
      </c>
      <c r="B68" s="8" t="s">
        <v>128</v>
      </c>
      <c r="C68" s="8" t="str">
        <f t="shared" si="14"/>
        <v>Amit Shah</v>
      </c>
      <c r="D68" s="8" t="s">
        <v>22</v>
      </c>
      <c r="E68" s="8" t="str">
        <f t="shared" si="15"/>
        <v>Finance</v>
      </c>
      <c r="F68" s="8" t="s">
        <v>129</v>
      </c>
      <c r="G68" s="8" t="str">
        <f t="shared" si="16"/>
        <v>amit@gmail.com</v>
      </c>
      <c r="H68" s="8"/>
      <c r="I68" s="8">
        <f t="shared" si="17"/>
        <v>32091</v>
      </c>
      <c r="J68" s="10">
        <v>44969</v>
      </c>
      <c r="K68" s="8">
        <v>2500</v>
      </c>
      <c r="L68" s="8">
        <f t="shared" si="18"/>
        <v>2500</v>
      </c>
      <c r="M68" s="8" t="s">
        <v>24</v>
      </c>
      <c r="N68" t="str">
        <f t="shared" si="19"/>
        <v>Kavitha</v>
      </c>
      <c r="O68">
        <f t="shared" si="20"/>
        <v>34591</v>
      </c>
    </row>
    <row r="69" spans="1:15">
      <c r="A69" s="8">
        <v>218</v>
      </c>
      <c r="B69" s="8" t="s">
        <v>130</v>
      </c>
      <c r="C69" s="8" t="str">
        <f t="shared" si="14"/>
        <v>Ritu Agarwal</v>
      </c>
      <c r="D69" s="8" t="s">
        <v>9</v>
      </c>
      <c r="E69" s="8" t="str">
        <f t="shared" si="15"/>
        <v>Hr</v>
      </c>
      <c r="F69" s="8" t="s">
        <v>50</v>
      </c>
      <c r="G69" s="8" t="str">
        <f t="shared" si="16"/>
        <v>ritu@gmail.com</v>
      </c>
      <c r="H69" s="8">
        <v>29500</v>
      </c>
      <c r="I69" s="8">
        <f t="shared" si="17"/>
        <v>29500</v>
      </c>
      <c r="J69" s="10">
        <v>44972</v>
      </c>
      <c r="K69" s="8"/>
      <c r="L69" s="8">
        <f t="shared" si="18"/>
        <v>0</v>
      </c>
      <c r="M69" s="8" t="s">
        <v>24</v>
      </c>
      <c r="N69" t="str">
        <f t="shared" si="19"/>
        <v>Kavitha</v>
      </c>
      <c r="O69">
        <f t="shared" si="20"/>
        <v>29500</v>
      </c>
    </row>
    <row r="70" ht="28.8" spans="1:15">
      <c r="A70" s="8">
        <v>219</v>
      </c>
      <c r="B70" s="8" t="s">
        <v>131</v>
      </c>
      <c r="C70" s="8" t="str">
        <f t="shared" si="14"/>
        <v>Sandeep Singh</v>
      </c>
      <c r="D70" s="8" t="s">
        <v>13</v>
      </c>
      <c r="E70" s="8" t="str">
        <f t="shared" si="15"/>
        <v>It</v>
      </c>
      <c r="F70" s="8" t="s">
        <v>132</v>
      </c>
      <c r="G70" s="8" t="str">
        <f t="shared" si="16"/>
        <v>sandeep@gmail.com</v>
      </c>
      <c r="H70" s="8">
        <v>35000</v>
      </c>
      <c r="I70" s="8">
        <f t="shared" si="17"/>
        <v>35000</v>
      </c>
      <c r="J70" s="10">
        <v>44975</v>
      </c>
      <c r="K70" s="8">
        <v>2300</v>
      </c>
      <c r="L70" s="8">
        <f t="shared" si="18"/>
        <v>2300</v>
      </c>
      <c r="M70" s="8" t="s">
        <v>15</v>
      </c>
      <c r="N70" t="str">
        <f t="shared" si="19"/>
        <v>Mahesh</v>
      </c>
      <c r="O70">
        <f t="shared" si="20"/>
        <v>37300</v>
      </c>
    </row>
    <row r="71" spans="1:15">
      <c r="A71" s="8">
        <v>220</v>
      </c>
      <c r="B71" s="8" t="s">
        <v>133</v>
      </c>
      <c r="C71" s="8" t="str">
        <f t="shared" si="14"/>
        <v>Neeraj Gupta</v>
      </c>
      <c r="D71" s="8" t="s">
        <v>17</v>
      </c>
      <c r="E71" s="8" t="str">
        <f t="shared" si="15"/>
        <v>Sales</v>
      </c>
      <c r="F71" s="8" t="s">
        <v>134</v>
      </c>
      <c r="G71" s="8" t="str">
        <f t="shared" si="16"/>
        <v>neeraj@gmail.com</v>
      </c>
      <c r="H71" s="8">
        <v>31000</v>
      </c>
      <c r="I71" s="8">
        <f t="shared" si="17"/>
        <v>31000</v>
      </c>
      <c r="J71" s="10">
        <v>44977</v>
      </c>
      <c r="K71" s="8"/>
      <c r="L71" s="8">
        <f t="shared" si="18"/>
        <v>0</v>
      </c>
      <c r="M71" s="8" t="s">
        <v>11</v>
      </c>
      <c r="N71" t="str">
        <f t="shared" si="19"/>
        <v>Suresh</v>
      </c>
      <c r="O71">
        <f t="shared" si="20"/>
        <v>31000</v>
      </c>
    </row>
    <row r="72" spans="1:15">
      <c r="A72" s="8">
        <v>221</v>
      </c>
      <c r="B72" s="8" t="s">
        <v>104</v>
      </c>
      <c r="C72" s="8" t="str">
        <f t="shared" si="14"/>
        <v>Akash Reddy</v>
      </c>
      <c r="D72" s="8" t="s">
        <v>13</v>
      </c>
      <c r="E72" s="8" t="str">
        <f t="shared" si="15"/>
        <v>It</v>
      </c>
      <c r="F72" s="8" t="s">
        <v>105</v>
      </c>
      <c r="G72" s="8" t="str">
        <f t="shared" si="16"/>
        <v>akash@gmail.com</v>
      </c>
      <c r="H72" s="8">
        <v>32000</v>
      </c>
      <c r="I72" s="8">
        <f t="shared" si="17"/>
        <v>32000</v>
      </c>
      <c r="J72" s="10">
        <v>44927</v>
      </c>
      <c r="K72" s="8">
        <v>2000</v>
      </c>
      <c r="L72" s="8">
        <f t="shared" si="18"/>
        <v>2000</v>
      </c>
      <c r="M72" s="8" t="s">
        <v>15</v>
      </c>
      <c r="N72" t="str">
        <f t="shared" si="19"/>
        <v>Mahesh</v>
      </c>
      <c r="O72">
        <f t="shared" si="20"/>
        <v>34000</v>
      </c>
    </row>
    <row r="73" spans="1:15">
      <c r="A73" s="8">
        <v>222</v>
      </c>
      <c r="B73" s="8" t="s">
        <v>106</v>
      </c>
      <c r="C73" s="8" t="str">
        <f t="shared" si="14"/>
        <v>Neha Sharma</v>
      </c>
      <c r="D73" s="8" t="s">
        <v>9</v>
      </c>
      <c r="E73" s="8" t="str">
        <f t="shared" si="15"/>
        <v>Hr</v>
      </c>
      <c r="F73" s="8"/>
      <c r="G73" s="8" t="str">
        <f t="shared" si="16"/>
        <v>Not Available</v>
      </c>
      <c r="H73" s="8">
        <v>28000</v>
      </c>
      <c r="I73" s="8">
        <f t="shared" si="17"/>
        <v>28000</v>
      </c>
      <c r="J73" s="10">
        <v>44929</v>
      </c>
      <c r="K73" s="8"/>
      <c r="L73" s="8">
        <f t="shared" si="18"/>
        <v>0</v>
      </c>
      <c r="M73" s="8" t="s">
        <v>24</v>
      </c>
      <c r="N73" t="str">
        <f t="shared" si="19"/>
        <v>Kavitha</v>
      </c>
      <c r="O73">
        <f t="shared" si="20"/>
        <v>28000</v>
      </c>
    </row>
    <row r="74" spans="1:15">
      <c r="A74" s="8">
        <v>223</v>
      </c>
      <c r="B74" s="8" t="s">
        <v>107</v>
      </c>
      <c r="C74" s="8" t="str">
        <f t="shared" si="14"/>
        <v>Rohan Das</v>
      </c>
      <c r="D74" s="8" t="s">
        <v>17</v>
      </c>
      <c r="E74" s="8" t="str">
        <f t="shared" si="15"/>
        <v>Sales</v>
      </c>
      <c r="F74" s="8" t="s">
        <v>108</v>
      </c>
      <c r="G74" s="8" t="str">
        <f t="shared" si="16"/>
        <v>rohan@gmail.com</v>
      </c>
      <c r="H74" s="8"/>
      <c r="I74" s="8">
        <f t="shared" si="17"/>
        <v>32091</v>
      </c>
      <c r="J74" s="10">
        <v>44931</v>
      </c>
      <c r="K74" s="8">
        <v>1800</v>
      </c>
      <c r="L74" s="8">
        <f t="shared" si="18"/>
        <v>1800</v>
      </c>
      <c r="M74" s="8" t="s">
        <v>11</v>
      </c>
      <c r="N74" t="str">
        <f t="shared" si="19"/>
        <v>Suresh</v>
      </c>
      <c r="O74">
        <f t="shared" si="20"/>
        <v>33891</v>
      </c>
    </row>
    <row r="75" spans="1:15">
      <c r="A75" s="8">
        <v>224</v>
      </c>
      <c r="B75" s="8" t="s">
        <v>109</v>
      </c>
      <c r="C75" s="8" t="str">
        <f t="shared" si="14"/>
        <v>Meera Nair</v>
      </c>
      <c r="D75" s="8" t="s">
        <v>22</v>
      </c>
      <c r="E75" s="8" t="str">
        <f t="shared" si="15"/>
        <v>Finance</v>
      </c>
      <c r="F75" s="8" t="s">
        <v>110</v>
      </c>
      <c r="G75" s="8" t="str">
        <f t="shared" si="16"/>
        <v>meera@gmail.com</v>
      </c>
      <c r="H75" s="8">
        <v>42000</v>
      </c>
      <c r="I75" s="8">
        <f t="shared" si="17"/>
        <v>42000</v>
      </c>
      <c r="J75" s="10">
        <v>44933</v>
      </c>
      <c r="K75" s="8"/>
      <c r="L75" s="8">
        <f t="shared" si="18"/>
        <v>0</v>
      </c>
      <c r="M75" s="8" t="s">
        <v>24</v>
      </c>
      <c r="N75" t="str">
        <f t="shared" si="19"/>
        <v>Kavitha</v>
      </c>
      <c r="O75">
        <f t="shared" si="20"/>
        <v>42000</v>
      </c>
    </row>
    <row r="76" spans="1:15">
      <c r="A76" s="8">
        <v>225</v>
      </c>
      <c r="B76" s="8" t="s">
        <v>111</v>
      </c>
      <c r="C76" s="8" t="str">
        <f t="shared" si="14"/>
        <v>Vikas Kumar</v>
      </c>
      <c r="D76" s="8" t="s">
        <v>13</v>
      </c>
      <c r="E76" s="8" t="str">
        <f t="shared" si="15"/>
        <v>It</v>
      </c>
      <c r="F76" s="8" t="s">
        <v>112</v>
      </c>
      <c r="G76" s="8" t="str">
        <f t="shared" si="16"/>
        <v>vikas@gmail.com</v>
      </c>
      <c r="H76" s="8">
        <v>30000</v>
      </c>
      <c r="I76" s="8">
        <f t="shared" si="17"/>
        <v>30000</v>
      </c>
      <c r="J76" s="10">
        <v>44936</v>
      </c>
      <c r="K76" s="8">
        <v>2200</v>
      </c>
      <c r="L76" s="8">
        <f t="shared" si="18"/>
        <v>2200</v>
      </c>
      <c r="M76" s="8" t="s">
        <v>15</v>
      </c>
      <c r="N76" t="str">
        <f t="shared" si="19"/>
        <v>Mahesh</v>
      </c>
      <c r="O76">
        <f t="shared" si="20"/>
        <v>32200</v>
      </c>
    </row>
    <row r="77" spans="1:15">
      <c r="A77" s="8">
        <v>226</v>
      </c>
      <c r="B77" s="8" t="s">
        <v>113</v>
      </c>
      <c r="C77" s="8" t="str">
        <f t="shared" si="14"/>
        <v>Pooja Singh</v>
      </c>
      <c r="D77" s="8" t="s">
        <v>9</v>
      </c>
      <c r="E77" s="8" t="str">
        <f t="shared" si="15"/>
        <v>Hr</v>
      </c>
      <c r="F77" s="8" t="s">
        <v>46</v>
      </c>
      <c r="G77" s="8" t="str">
        <f t="shared" si="16"/>
        <v>pooja@gmail.com</v>
      </c>
      <c r="H77" s="8"/>
      <c r="I77" s="8">
        <f t="shared" si="17"/>
        <v>32091</v>
      </c>
      <c r="J77" s="10">
        <v>44938</v>
      </c>
      <c r="K77" s="8"/>
      <c r="L77" s="8">
        <f t="shared" si="18"/>
        <v>0</v>
      </c>
      <c r="M77" s="8" t="s">
        <v>24</v>
      </c>
      <c r="N77" t="str">
        <f t="shared" si="19"/>
        <v>Kavitha</v>
      </c>
      <c r="O77">
        <f t="shared" si="20"/>
        <v>32091</v>
      </c>
    </row>
    <row r="78" spans="1:15">
      <c r="A78" s="8">
        <v>227</v>
      </c>
      <c r="B78" s="8" t="s">
        <v>114</v>
      </c>
      <c r="C78" s="8" t="str">
        <f t="shared" si="14"/>
        <v>Arvind Rao</v>
      </c>
      <c r="D78" s="8" t="s">
        <v>17</v>
      </c>
      <c r="E78" s="8" t="str">
        <f t="shared" si="15"/>
        <v>Sales</v>
      </c>
      <c r="F78" s="8" t="s">
        <v>115</v>
      </c>
      <c r="G78" s="8" t="str">
        <f t="shared" si="16"/>
        <v>arvind@gmail.com</v>
      </c>
      <c r="H78" s="8">
        <v>31000</v>
      </c>
      <c r="I78" s="8">
        <f t="shared" si="17"/>
        <v>31000</v>
      </c>
      <c r="J78" s="10">
        <v>44941</v>
      </c>
      <c r="K78" s="8"/>
      <c r="L78" s="8">
        <f t="shared" si="18"/>
        <v>0</v>
      </c>
      <c r="M78" s="8" t="s">
        <v>11</v>
      </c>
      <c r="N78" t="str">
        <f t="shared" si="19"/>
        <v>Suresh</v>
      </c>
      <c r="O78">
        <f t="shared" si="20"/>
        <v>31000</v>
      </c>
    </row>
    <row r="79" spans="1:15">
      <c r="A79" s="8">
        <v>228</v>
      </c>
      <c r="B79" s="8" t="s">
        <v>116</v>
      </c>
      <c r="C79" s="8" t="str">
        <f t="shared" si="14"/>
        <v>Sneha Patil</v>
      </c>
      <c r="D79" s="8" t="s">
        <v>13</v>
      </c>
      <c r="E79" s="8" t="str">
        <f t="shared" si="15"/>
        <v>It</v>
      </c>
      <c r="F79" s="8" t="s">
        <v>34</v>
      </c>
      <c r="G79" s="8" t="str">
        <f t="shared" si="16"/>
        <v>sneha@gmail.com</v>
      </c>
      <c r="H79" s="8">
        <v>34000</v>
      </c>
      <c r="I79" s="8">
        <f t="shared" si="17"/>
        <v>34000</v>
      </c>
      <c r="J79" s="10">
        <v>44944</v>
      </c>
      <c r="K79" s="8">
        <v>2000</v>
      </c>
      <c r="L79" s="8">
        <f t="shared" si="18"/>
        <v>2000</v>
      </c>
      <c r="M79" s="8" t="s">
        <v>15</v>
      </c>
      <c r="N79" t="str">
        <f t="shared" si="19"/>
        <v>Mahesh</v>
      </c>
      <c r="O79">
        <f t="shared" si="20"/>
        <v>36000</v>
      </c>
    </row>
    <row r="80" spans="1:15">
      <c r="A80" s="8">
        <v>229</v>
      </c>
      <c r="B80" s="8" t="s">
        <v>117</v>
      </c>
      <c r="C80" s="8" t="str">
        <f t="shared" si="14"/>
        <v>Kiran Verma</v>
      </c>
      <c r="D80" s="8" t="s">
        <v>22</v>
      </c>
      <c r="E80" s="8" t="str">
        <f t="shared" si="15"/>
        <v>Finance</v>
      </c>
      <c r="F80" s="8" t="s">
        <v>44</v>
      </c>
      <c r="G80" s="8" t="str">
        <f t="shared" si="16"/>
        <v>kiran@gmail.com</v>
      </c>
      <c r="H80" s="8"/>
      <c r="I80" s="8">
        <f t="shared" si="17"/>
        <v>32091</v>
      </c>
      <c r="J80" s="10">
        <v>44946</v>
      </c>
      <c r="K80" s="8">
        <v>3000</v>
      </c>
      <c r="L80" s="8">
        <f t="shared" si="18"/>
        <v>3000</v>
      </c>
      <c r="M80" s="8" t="s">
        <v>24</v>
      </c>
      <c r="N80" t="str">
        <f t="shared" si="19"/>
        <v>Kavitha</v>
      </c>
      <c r="O80">
        <f t="shared" si="20"/>
        <v>35091</v>
      </c>
    </row>
    <row r="81" spans="1:15">
      <c r="A81" s="8">
        <v>230</v>
      </c>
      <c r="B81" s="8" t="s">
        <v>118</v>
      </c>
      <c r="C81" s="8" t="str">
        <f t="shared" si="14"/>
        <v>Mohit Jain</v>
      </c>
      <c r="D81" s="8" t="s">
        <v>9</v>
      </c>
      <c r="E81" s="8" t="str">
        <f t="shared" si="15"/>
        <v>Hr</v>
      </c>
      <c r="F81" s="8" t="s">
        <v>119</v>
      </c>
      <c r="G81" s="8" t="str">
        <f t="shared" si="16"/>
        <v>mohit@gmail.com</v>
      </c>
      <c r="H81" s="8">
        <v>27000</v>
      </c>
      <c r="I81" s="8">
        <f t="shared" si="17"/>
        <v>27000</v>
      </c>
      <c r="J81" s="10">
        <v>44948</v>
      </c>
      <c r="K81" s="8"/>
      <c r="L81" s="8">
        <f t="shared" si="18"/>
        <v>0</v>
      </c>
      <c r="M81" s="8"/>
      <c r="N81" t="str">
        <f t="shared" si="19"/>
        <v>Not Assigned</v>
      </c>
      <c r="O81">
        <f t="shared" si="20"/>
        <v>27000</v>
      </c>
    </row>
    <row r="82" spans="1:15">
      <c r="A82" s="8">
        <v>231</v>
      </c>
      <c r="B82" s="8" t="s">
        <v>135</v>
      </c>
      <c r="C82" s="8" t="str">
        <f t="shared" si="14"/>
        <v>Priya Nair</v>
      </c>
      <c r="D82" s="8" t="s">
        <v>9</v>
      </c>
      <c r="E82" s="8" t="str">
        <f t="shared" si="15"/>
        <v>Hr</v>
      </c>
      <c r="F82" s="8" t="s">
        <v>30</v>
      </c>
      <c r="G82" s="8" t="str">
        <f t="shared" si="16"/>
        <v>priya@gmail.com</v>
      </c>
      <c r="H82" s="8">
        <v>29000</v>
      </c>
      <c r="I82" s="8">
        <f t="shared" si="17"/>
        <v>29000</v>
      </c>
      <c r="J82" s="10">
        <v>44986</v>
      </c>
      <c r="K82" s="8">
        <v>1800</v>
      </c>
      <c r="L82" s="8">
        <f t="shared" si="18"/>
        <v>1800</v>
      </c>
      <c r="M82" s="8" t="s">
        <v>24</v>
      </c>
      <c r="N82" t="str">
        <f t="shared" si="19"/>
        <v>Kavitha</v>
      </c>
      <c r="O82">
        <f t="shared" si="20"/>
        <v>30800</v>
      </c>
    </row>
    <row r="83" spans="1:15">
      <c r="A83" s="8">
        <v>232</v>
      </c>
      <c r="B83" s="8" t="s">
        <v>136</v>
      </c>
      <c r="C83" s="8" t="str">
        <f t="shared" si="14"/>
        <v>Rakesh Kumar</v>
      </c>
      <c r="D83" s="8" t="s">
        <v>13</v>
      </c>
      <c r="E83" s="8" t="str">
        <f t="shared" si="15"/>
        <v>It</v>
      </c>
      <c r="F83" s="8" t="s">
        <v>137</v>
      </c>
      <c r="G83" s="8" t="str">
        <f t="shared" si="16"/>
        <v>rakesh@gmail.com</v>
      </c>
      <c r="H83" s="8">
        <v>36000</v>
      </c>
      <c r="I83" s="8">
        <f t="shared" si="17"/>
        <v>36000</v>
      </c>
      <c r="J83" s="10">
        <v>44988</v>
      </c>
      <c r="K83" s="8"/>
      <c r="L83" s="8">
        <f t="shared" si="18"/>
        <v>0</v>
      </c>
      <c r="M83" s="8" t="s">
        <v>15</v>
      </c>
      <c r="N83" t="str">
        <f t="shared" si="19"/>
        <v>Mahesh</v>
      </c>
      <c r="O83">
        <f t="shared" si="20"/>
        <v>36000</v>
      </c>
    </row>
    <row r="84" spans="1:15">
      <c r="A84" s="8">
        <v>233</v>
      </c>
      <c r="B84" s="8" t="s">
        <v>138</v>
      </c>
      <c r="C84" s="8" t="str">
        <f t="shared" si="14"/>
        <v>Sunil Das</v>
      </c>
      <c r="D84" s="8" t="s">
        <v>17</v>
      </c>
      <c r="E84" s="8" t="str">
        <f t="shared" si="15"/>
        <v>Sales</v>
      </c>
      <c r="F84" s="8" t="s">
        <v>139</v>
      </c>
      <c r="G84" s="8" t="str">
        <f t="shared" si="16"/>
        <v>sunil@gmail.com</v>
      </c>
      <c r="H84" s="8">
        <v>31000</v>
      </c>
      <c r="I84" s="8">
        <f t="shared" si="17"/>
        <v>31000</v>
      </c>
      <c r="J84" s="10">
        <v>44990</v>
      </c>
      <c r="K84" s="8">
        <v>2000</v>
      </c>
      <c r="L84" s="8">
        <f t="shared" si="18"/>
        <v>2000</v>
      </c>
      <c r="M84" s="8" t="s">
        <v>11</v>
      </c>
      <c r="N84" t="str">
        <f t="shared" si="19"/>
        <v>Suresh</v>
      </c>
      <c r="O84">
        <f t="shared" si="20"/>
        <v>33000</v>
      </c>
    </row>
    <row r="85" spans="1:15">
      <c r="A85" s="8">
        <v>234</v>
      </c>
      <c r="B85" s="8" t="s">
        <v>140</v>
      </c>
      <c r="C85" s="8" t="str">
        <f t="shared" si="14"/>
        <v>Ananya Singh</v>
      </c>
      <c r="D85" s="8" t="s">
        <v>22</v>
      </c>
      <c r="E85" s="8" t="str">
        <f t="shared" si="15"/>
        <v>Finance</v>
      </c>
      <c r="F85" s="8" t="s">
        <v>141</v>
      </c>
      <c r="G85" s="8" t="str">
        <f t="shared" si="16"/>
        <v>ananya@gmail.com</v>
      </c>
      <c r="H85" s="8">
        <v>40000</v>
      </c>
      <c r="I85" s="8">
        <f t="shared" si="17"/>
        <v>40000</v>
      </c>
      <c r="J85" s="10">
        <v>44992</v>
      </c>
      <c r="K85" s="8"/>
      <c r="L85" s="8">
        <f t="shared" si="18"/>
        <v>0</v>
      </c>
      <c r="M85" s="8" t="s">
        <v>24</v>
      </c>
      <c r="N85" t="str">
        <f t="shared" si="19"/>
        <v>Kavitha</v>
      </c>
      <c r="O85">
        <f t="shared" si="20"/>
        <v>40000</v>
      </c>
    </row>
    <row r="86" spans="1:15">
      <c r="A86" s="8">
        <v>235</v>
      </c>
      <c r="B86" s="8" t="s">
        <v>142</v>
      </c>
      <c r="C86" s="8" t="str">
        <f t="shared" si="14"/>
        <v>Deepak Reddy</v>
      </c>
      <c r="D86" s="8" t="s">
        <v>13</v>
      </c>
      <c r="E86" s="8" t="str">
        <f t="shared" si="15"/>
        <v>It</v>
      </c>
      <c r="F86" s="8" t="s">
        <v>56</v>
      </c>
      <c r="G86" s="8" t="str">
        <f t="shared" si="16"/>
        <v>deepak@gmail.com</v>
      </c>
      <c r="H86" s="8">
        <v>33000</v>
      </c>
      <c r="I86" s="8">
        <f t="shared" si="17"/>
        <v>33000</v>
      </c>
      <c r="J86" s="10">
        <v>44995</v>
      </c>
      <c r="K86" s="8">
        <v>2100</v>
      </c>
      <c r="L86" s="8">
        <f t="shared" si="18"/>
        <v>2100</v>
      </c>
      <c r="M86" s="8" t="s">
        <v>15</v>
      </c>
      <c r="N86" t="str">
        <f t="shared" si="19"/>
        <v>Mahesh</v>
      </c>
      <c r="O86">
        <f t="shared" si="20"/>
        <v>35100</v>
      </c>
    </row>
    <row r="87" spans="1:15">
      <c r="A87" s="8">
        <v>236</v>
      </c>
      <c r="B87" s="8" t="s">
        <v>143</v>
      </c>
      <c r="C87" s="8" t="str">
        <f t="shared" si="14"/>
        <v>Kavya Nair</v>
      </c>
      <c r="D87" s="8" t="s">
        <v>9</v>
      </c>
      <c r="E87" s="8" t="str">
        <f t="shared" si="15"/>
        <v>Hr</v>
      </c>
      <c r="F87" s="8" t="s">
        <v>26</v>
      </c>
      <c r="G87" s="8" t="str">
        <f t="shared" si="16"/>
        <v>kavya@gmail.com</v>
      </c>
      <c r="H87" s="8">
        <v>28000</v>
      </c>
      <c r="I87" s="8">
        <f t="shared" si="17"/>
        <v>28000</v>
      </c>
      <c r="J87" s="10">
        <v>44997</v>
      </c>
      <c r="K87" s="8"/>
      <c r="L87" s="8">
        <f t="shared" si="18"/>
        <v>0</v>
      </c>
      <c r="M87" s="8" t="s">
        <v>24</v>
      </c>
      <c r="N87" t="str">
        <f t="shared" si="19"/>
        <v>Kavitha</v>
      </c>
      <c r="O87">
        <f t="shared" si="20"/>
        <v>28000</v>
      </c>
    </row>
    <row r="88" spans="1:15">
      <c r="A88" s="8">
        <v>237</v>
      </c>
      <c r="B88" s="8" t="s">
        <v>144</v>
      </c>
      <c r="C88" s="8" t="str">
        <f t="shared" si="14"/>
        <v>Manoj Kumar</v>
      </c>
      <c r="D88" s="8" t="s">
        <v>17</v>
      </c>
      <c r="E88" s="8" t="str">
        <f t="shared" si="15"/>
        <v>Sales</v>
      </c>
      <c r="F88" s="8" t="s">
        <v>145</v>
      </c>
      <c r="G88" s="8" t="str">
        <f t="shared" si="16"/>
        <v>manoj@gmail.com</v>
      </c>
      <c r="H88" s="8">
        <v>30500</v>
      </c>
      <c r="I88" s="8">
        <f t="shared" si="17"/>
        <v>30500</v>
      </c>
      <c r="J88" s="10">
        <v>45000</v>
      </c>
      <c r="K88" s="8">
        <v>2000</v>
      </c>
      <c r="L88" s="8">
        <f t="shared" si="18"/>
        <v>2000</v>
      </c>
      <c r="M88" s="8" t="s">
        <v>11</v>
      </c>
      <c r="N88" t="str">
        <f t="shared" si="19"/>
        <v>Suresh</v>
      </c>
      <c r="O88">
        <f t="shared" si="20"/>
        <v>32500</v>
      </c>
    </row>
    <row r="89" spans="1:15">
      <c r="A89" s="8">
        <v>238</v>
      </c>
      <c r="B89" s="8" t="s">
        <v>146</v>
      </c>
      <c r="C89" s="8" t="str">
        <f t="shared" si="14"/>
        <v>Riya Shah</v>
      </c>
      <c r="D89" s="8" t="s">
        <v>22</v>
      </c>
      <c r="E89" s="8" t="str">
        <f t="shared" si="15"/>
        <v>Finance</v>
      </c>
      <c r="F89" s="8" t="s">
        <v>147</v>
      </c>
      <c r="G89" s="8" t="str">
        <f t="shared" si="16"/>
        <v>riya@gmail.com</v>
      </c>
      <c r="H89" s="8">
        <v>39000</v>
      </c>
      <c r="I89" s="8">
        <f t="shared" si="17"/>
        <v>39000</v>
      </c>
      <c r="J89" s="10">
        <v>45003</v>
      </c>
      <c r="K89" s="8"/>
      <c r="L89" s="8">
        <f t="shared" si="18"/>
        <v>0</v>
      </c>
      <c r="M89" s="8" t="s">
        <v>24</v>
      </c>
      <c r="N89" t="str">
        <f t="shared" si="19"/>
        <v>Kavitha</v>
      </c>
      <c r="O89">
        <f t="shared" si="20"/>
        <v>39000</v>
      </c>
    </row>
    <row r="90" spans="1:15">
      <c r="A90" s="8">
        <v>239</v>
      </c>
      <c r="B90" s="8" t="s">
        <v>148</v>
      </c>
      <c r="C90" s="8" t="str">
        <f t="shared" si="14"/>
        <v>Ajay Verma</v>
      </c>
      <c r="D90" s="8" t="s">
        <v>13</v>
      </c>
      <c r="E90" s="8" t="str">
        <f t="shared" si="15"/>
        <v>It</v>
      </c>
      <c r="F90" s="8" t="s">
        <v>85</v>
      </c>
      <c r="G90" s="8" t="str">
        <f t="shared" si="16"/>
        <v>ajay@gmail.com</v>
      </c>
      <c r="H90" s="8">
        <v>35000</v>
      </c>
      <c r="I90" s="8">
        <f t="shared" si="17"/>
        <v>35000</v>
      </c>
      <c r="J90" s="10">
        <v>45005</v>
      </c>
      <c r="K90" s="8">
        <v>2200</v>
      </c>
      <c r="L90" s="8">
        <f t="shared" si="18"/>
        <v>2200</v>
      </c>
      <c r="M90" s="8" t="s">
        <v>15</v>
      </c>
      <c r="N90" t="str">
        <f t="shared" si="19"/>
        <v>Mahesh</v>
      </c>
      <c r="O90">
        <f t="shared" si="20"/>
        <v>37200</v>
      </c>
    </row>
    <row r="91" spans="1:15">
      <c r="A91" s="8">
        <v>240</v>
      </c>
      <c r="B91" s="8" t="s">
        <v>149</v>
      </c>
      <c r="C91" s="8" t="str">
        <f t="shared" si="14"/>
        <v>Nikhil Jain</v>
      </c>
      <c r="D91" s="8" t="s">
        <v>9</v>
      </c>
      <c r="E91" s="8" t="str">
        <f t="shared" si="15"/>
        <v>Hr</v>
      </c>
      <c r="F91" s="8" t="s">
        <v>150</v>
      </c>
      <c r="G91" s="8" t="str">
        <f t="shared" si="16"/>
        <v>nikhil@gmail.com</v>
      </c>
      <c r="H91" s="8">
        <v>27000</v>
      </c>
      <c r="I91" s="8">
        <f t="shared" si="17"/>
        <v>27000</v>
      </c>
      <c r="J91" s="10">
        <v>45007</v>
      </c>
      <c r="K91" s="8"/>
      <c r="L91" s="8">
        <f t="shared" si="18"/>
        <v>0</v>
      </c>
      <c r="M91" s="8" t="s">
        <v>24</v>
      </c>
      <c r="N91" t="str">
        <f t="shared" si="19"/>
        <v>Kavitha</v>
      </c>
      <c r="O91">
        <f t="shared" si="20"/>
        <v>27000</v>
      </c>
    </row>
    <row r="92" spans="5:12">
      <c r="E92" s="8" t="str">
        <f t="shared" si="15"/>
        <v/>
      </c>
      <c r="G92" s="8"/>
      <c r="H92">
        <f>AVERAGE(H2:H91)</f>
        <v>32090.9090909091</v>
      </c>
      <c r="I92" s="8"/>
      <c r="J92"/>
      <c r="K92"/>
      <c r="L92" s="8"/>
    </row>
    <row r="93" spans="5:12">
      <c r="E93" s="8" t="str">
        <f t="shared" si="15"/>
        <v/>
      </c>
      <c r="G93" s="8"/>
      <c r="H93">
        <f>ROUNDUP(H92,0)</f>
        <v>32091</v>
      </c>
      <c r="L93" s="8"/>
    </row>
  </sheetData>
  <mergeCells count="1">
    <mergeCell ref="Q6:Q16"/>
  </mergeCells>
  <hyperlinks>
    <hyperlink ref="F2" r:id="rId1" display="ram@gmail.com" tooltip="mailto:ram@gmail.com"/>
    <hyperlink ref="F3" r:id="rId2" display="sita@gmail.com" tooltip="mailto:sita@gmail.com"/>
    <hyperlink ref="F4" r:id="rId3" display="ravi@gmail.com" tooltip="mailto:ravi@gmail.com"/>
    <hyperlink ref="F5" r:id="rId4" display="meena@gmail.com" tooltip="mailto:meena@gmail.com"/>
    <hyperlink ref="F6" r:id="rId5" display="john@gmail.com" tooltip="mailto:john@gmail.com"/>
    <hyperlink ref="F7" r:id="rId6" display="kavya@gmail.com" tooltip="mailto:kavya@gmail.com"/>
    <hyperlink ref="F8" r:id="rId7" display="arjun@gmail.com" tooltip="mailto:arjun@gmail.com"/>
    <hyperlink ref="F9" r:id="rId8" display="priya@gmail.com" tooltip="mailto:priya@gmail.com"/>
    <hyperlink ref="F10" r:id="rId9" display="rohit@gmail.com" tooltip="mailto:rohit@gmail.com"/>
    <hyperlink ref="F11" r:id="rId10" display="sneha@gmail.com" tooltip="mailto:sneha@gmail.com"/>
    <hyperlink ref="F12" r:id="rId11" display="vikram@gmail.com" tooltip="mailto:vikram@gmail.com"/>
    <hyperlink ref="F13" r:id="rId12" display="anjali@gmail.com" tooltip="mailto:anjali@gmail.com"/>
    <hyperlink ref="F14" r:id="rId13" display="raj@gmail.com" tooltip="mailto:raj@gmail.com"/>
    <hyperlink ref="F15" r:id="rId14" display="neha@gmail.com" tooltip="mailto:neha@gmail.com"/>
    <hyperlink ref="F16" r:id="rId15" display="kiran@gmail.com" tooltip="mailto:kiran@gmail.com"/>
    <hyperlink ref="F17" r:id="rId16" display="pooja@gmail.com" tooltip="mailto:pooja@gmail.com"/>
    <hyperlink ref="F18" r:id="rId17" display="aman@gmail.com" tooltip="mailto:aman@gmail.com"/>
    <hyperlink ref="F19" r:id="rId18" display="ritu@gmail.com" tooltip="mailto:ritu@gmail.com"/>
    <hyperlink ref="F20" r:id="rId19" display="mohan@gmail.com" tooltip="mailto:mohan@gmail.com"/>
    <hyperlink ref="F21" r:id="rId20" display="sunita@gmail.com" tooltip="mailto:sunita@gmail.com"/>
    <hyperlink ref="F22" r:id="rId21" display="deepak@gmail.com" tooltip="mailto:deepak@gmail.com"/>
    <hyperlink ref="F23" r:id="rId22" display="varun@gmail.com" tooltip="mailto:varun@gmail.com"/>
    <hyperlink ref="F24" r:id="rId23" display="nisha@gmail.com" tooltip="mailto:nisha@gmail.com"/>
    <hyperlink ref="F25" r:id="rId24" display="rahul@gmail.com" tooltip="mailto:rahul@gmail.com"/>
    <hyperlink ref="F26" r:id="rId25" display="kavita@gmail.com" tooltip="mailto:kavita@gmail.com"/>
    <hyperlink ref="F27" r:id="rId26" display="tarun@gmail.com" tooltip="mailto:tarun@gmail.com"/>
    <hyperlink ref="F28" r:id="rId27" display="pawan@gmail.com" tooltip="mailto:pawan@gmail.com"/>
    <hyperlink ref="F29" r:id="rId28" display="divya@gmail.com" tooltip="mailto:divya@gmail.com"/>
    <hyperlink ref="F30" r:id="rId29" display="karthik@gmail.com" tooltip="mailto:karthik@gmail.com"/>
    <hyperlink ref="F31" r:id="rId30" display="rekha@gmail.com" tooltip="mailto:rekha@gmail.com"/>
    <hyperlink ref="F32" r:id="rId1" display="ram@gmail.com" tooltip="mailto:ram@gmail.com"/>
    <hyperlink ref="F33" r:id="rId2" display="sita@gmail.com" tooltip="mailto:sita@gmail.com"/>
    <hyperlink ref="F34" r:id="rId3" display="ravi@gmail.com" tooltip="mailto:ravi@gmail.com"/>
    <hyperlink ref="F35" r:id="rId4" display="meena@gmail.com" tooltip="mailto:meena@gmail.com"/>
    <hyperlink ref="F36" r:id="rId5" display="john@gmail.com" tooltip="mailto:john@gmail.com"/>
    <hyperlink ref="F37" r:id="rId6" display="kavya@gmail.com" tooltip="mailto:kavya@gmail.com"/>
    <hyperlink ref="F38" r:id="rId7" display="arjun@gmail.com" tooltip="mailto:arjun@gmail.com"/>
    <hyperlink ref="F39" r:id="rId8" display="priya@gmail.com" tooltip="mailto:priya@gmail.com"/>
    <hyperlink ref="F40" r:id="rId9" display="rohit@gmail.com" tooltip="mailto:rohit@gmail.com"/>
    <hyperlink ref="F41" r:id="rId10" display="sneha@gmail.com" tooltip="mailto:sneha@gmail.com"/>
    <hyperlink ref="F42" r:id="rId31" display="ajay@gmail.com" tooltip="mailto:ajay@gmail.com"/>
    <hyperlink ref="F43" r:id="rId32" display="bhavna@gmail.com" tooltip="mailto:bhavna@gmail.com"/>
    <hyperlink ref="F44" r:id="rId33" display="chirag@gmail.com" tooltip="mailto:chirag@gmail.com"/>
    <hyperlink ref="F45" r:id="rId34" display="deepika@gmail.com" tooltip="mailto:deepika@gmail.com"/>
    <hyperlink ref="F46" r:id="rId35" display="esha@gmail.com" tooltip="mailto:esha@gmail.com"/>
    <hyperlink ref="F47" r:id="rId36" display="farhan@gmail.com" tooltip="mailto:farhan@gmail.com"/>
    <hyperlink ref="F48" r:id="rId37" display="gaurav@gmail.com" tooltip="mailto:gaurav@gmail.com"/>
    <hyperlink ref="F49" r:id="rId38" display="heena@gmail.com" tooltip="mailto:heena@gmail.com"/>
    <hyperlink ref="F50" r:id="rId39" display="imran@gmail.com" tooltip="mailto:imran@gmail.com"/>
    <hyperlink ref="F51" r:id="rId40" display="jyoti@gmail.com" tooltip="mailto:jyoti@gmail.com"/>
    <hyperlink ref="F52" r:id="rId41" display="akash@gmail.com" tooltip="mailto:akash@gmail.com"/>
    <hyperlink ref="F53" r:id="rId14" display="neha@gmail.com" tooltip="mailto:neha@gmail.com"/>
    <hyperlink ref="F54" r:id="rId42" display="rohan@gmail.com" tooltip="mailto:rohan@gmail.com"/>
    <hyperlink ref="F55" r:id="rId43" display="meera@gmail.com" tooltip="mailto:meera@gmail.com"/>
    <hyperlink ref="F56" r:id="rId44" display="vikas@gmail.com" tooltip="mailto:vikas@gmail.com"/>
    <hyperlink ref="F57" r:id="rId16" display="pooja@gmail.com" tooltip="mailto:pooja@gmail.com"/>
    <hyperlink ref="F58" r:id="rId45" display="arvind@gmail.com" tooltip="mailto:arvind@gmail.com"/>
    <hyperlink ref="F59" r:id="rId10" display="sneha@gmail.com" tooltip="mailto:sneha@gmail.com"/>
    <hyperlink ref="F60" r:id="rId15" display="kiran@gmail.com" tooltip="mailto:kiran@gmail.com"/>
    <hyperlink ref="F61" r:id="rId46" display="mohit@gmail.com" tooltip="mailto:mohit@gmail.com"/>
    <hyperlink ref="F62" r:id="rId47" display="anil@gmail.com" tooltip="mailto:anil@gmail.com"/>
    <hyperlink ref="F63" r:id="rId28" display="divya@gmail.com" tooltip="mailto:divya@gmail.com"/>
    <hyperlink ref="F64" r:id="rId24" display="rahul@gmail.com" tooltip="mailto:rahul@gmail.com"/>
    <hyperlink ref="F65" r:id="rId23" display="nisha@gmail.com" tooltip="mailto:nisha@gmail.com"/>
    <hyperlink ref="F66" r:id="rId48" display="sameer@gmail.com" tooltip="mailto:sameer@gmail.com"/>
    <hyperlink ref="F67" r:id="rId25" display="kavita@gmail.com" tooltip="mailto:kavita@gmail.com"/>
    <hyperlink ref="F68" r:id="rId49" display="amit@gmail.com" tooltip="mailto:amit@gmail.com"/>
    <hyperlink ref="F69" r:id="rId18" display="ritu@gmail.com" tooltip="mailto:ritu@gmail.com"/>
    <hyperlink ref="F70" r:id="rId50" display="sandeep@gmail.com" tooltip="mailto:sandeep@gmail.com"/>
    <hyperlink ref="F71" r:id="rId51" display="neeraj@gmail.com" tooltip="mailto:neeraj@gmail.com"/>
    <hyperlink ref="F72" r:id="rId41" display="akash@gmail.com" tooltip="mailto:akash@gmail.com"/>
    <hyperlink ref="F74" r:id="rId42" display="rohan@gmail.com" tooltip="mailto:rohan@gmail.com"/>
    <hyperlink ref="F75" r:id="rId43" display="meera@gmail.com" tooltip="mailto:meera@gmail.com"/>
    <hyperlink ref="F76" r:id="rId44" display="vikas@gmail.com" tooltip="mailto:vikas@gmail.com"/>
    <hyperlink ref="F77" r:id="rId16" display="pooja@gmail.com" tooltip="mailto:pooja@gmail.com"/>
    <hyperlink ref="F78" r:id="rId45" display="arvind@gmail.com" tooltip="mailto:arvind@gmail.com"/>
    <hyperlink ref="F79" r:id="rId10" display="sneha@gmail.com" tooltip="mailto:sneha@gmail.com"/>
    <hyperlink ref="F80" r:id="rId15" display="kiran@gmail.com" tooltip="mailto:kiran@gmail.com"/>
    <hyperlink ref="F81" r:id="rId46" display="mohit@gmail.com" tooltip="mailto:mohit@gmail.com"/>
    <hyperlink ref="F82" r:id="rId8" display="priya@gmail.com" tooltip="mailto:priya@gmail.com"/>
    <hyperlink ref="F83" r:id="rId52" display="rakesh@gmail.com" tooltip="mailto:rakesh@gmail.com"/>
    <hyperlink ref="F84" r:id="rId53" display="sunil@gmail.com" tooltip="mailto:sunil@gmail.com"/>
    <hyperlink ref="F85" r:id="rId54" display="ananya@gmail.com" tooltip="mailto:ananya@gmail.com"/>
    <hyperlink ref="F86" r:id="rId21" display="deepak@gmail.com" tooltip="mailto:deepak@gmail.com"/>
    <hyperlink ref="F87" r:id="rId6" display="kavya@gmail.com" tooltip="mailto:kavya@gmail.com"/>
    <hyperlink ref="F88" r:id="rId55" display="manoj@gmail.com" tooltip="mailto:manoj@gmail.com"/>
    <hyperlink ref="F89" r:id="rId56" display="riya@gmail.com" tooltip="mailto:riya@gmail.com"/>
    <hyperlink ref="F90" r:id="rId31" display="ajay@gmail.com" tooltip="mailto:ajay@gmail.com"/>
    <hyperlink ref="F91" r:id="rId57" display="nikhil@gmail.com" tooltip="mailto:nikhil@gmail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2:F10"/>
  <sheetViews>
    <sheetView tabSelected="1" workbookViewId="0">
      <selection activeCell="G13" sqref="G13"/>
    </sheetView>
  </sheetViews>
  <sheetFormatPr defaultColWidth="8.88888888888889" defaultRowHeight="14.4" outlineLevelCol="5"/>
  <cols>
    <col min="1" max="1" width="15.8888888888889" customWidth="1"/>
    <col min="2" max="2" width="9.66666666666667" customWidth="1"/>
    <col min="5" max="5" width="15.8888888888889" customWidth="1"/>
    <col min="6" max="6" width="9.66666666666667" customWidth="1"/>
  </cols>
  <sheetData>
    <row r="2" spans="5:6">
      <c r="E2" s="1" t="s">
        <v>159</v>
      </c>
      <c r="F2" s="2"/>
    </row>
    <row r="3" spans="5:6">
      <c r="E3" s="2"/>
      <c r="F3" s="2"/>
    </row>
    <row r="4" spans="5:6">
      <c r="E4" s="3" t="s">
        <v>160</v>
      </c>
      <c r="F4" s="3" t="s">
        <v>161</v>
      </c>
    </row>
    <row r="5" spans="5:6">
      <c r="E5" s="4" t="s">
        <v>162</v>
      </c>
      <c r="F5" s="4">
        <f>COUNTA('Cleaned data'!A2:A91)</f>
        <v>90</v>
      </c>
    </row>
    <row r="6" spans="5:6">
      <c r="E6" s="4" t="s">
        <v>163</v>
      </c>
      <c r="F6" s="4">
        <f>AVERAGE('Cleaned data'!I67:I91)</f>
        <v>32274.56</v>
      </c>
    </row>
    <row r="7" spans="5:6">
      <c r="E7" s="4" t="s">
        <v>164</v>
      </c>
      <c r="F7" s="4">
        <f>MAX('Cleaned data'!I2:I91)</f>
        <v>43000</v>
      </c>
    </row>
    <row r="8" spans="5:6">
      <c r="E8" s="4" t="s">
        <v>165</v>
      </c>
      <c r="F8" s="4">
        <f>MIN('Cleaned data'!I2:I91)</f>
        <v>25000</v>
      </c>
    </row>
    <row r="9" spans="5:6">
      <c r="E9" s="4" t="s">
        <v>166</v>
      </c>
      <c r="F9" s="5">
        <f>SUM('Cleaned data'!I2:I91)</f>
        <v>2888183</v>
      </c>
    </row>
    <row r="10" spans="5:6">
      <c r="E10" s="4" t="s">
        <v>167</v>
      </c>
      <c r="F10" s="5">
        <f>SUM('Cleaned data'!L2:L91)</f>
        <v>134500</v>
      </c>
    </row>
  </sheetData>
  <mergeCells count="1">
    <mergeCell ref="E2:F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</dc:creator>
  <cp:lastModifiedBy>WPS_1687949486</cp:lastModifiedBy>
  <dcterms:created xsi:type="dcterms:W3CDTF">2026-02-19T06:57:38Z</dcterms:created>
  <dcterms:modified xsi:type="dcterms:W3CDTF">2026-02-19T07:45:48Z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82F92FC632B7487D98235C4ADD660AE2_11</vt:lpwstr>
  </property>
  <property fmtid="{D5CDD505-2E9C-101B-9397-08002B2CF9AE}" pid="3" name="KSOProductBuildVer">
    <vt:lpwstr>1033-12.2.0.23196</vt:lpwstr>
  </property>
</Properties>
</file>