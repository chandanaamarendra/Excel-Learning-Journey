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Employee_Data" sheetId="1" r:id="rId1"/>
    <sheet name="Horizontal_Data" sheetId="3" r:id="rId2"/>
    <sheet name="Lookup_Practice" sheetId="2" r:id="rId3"/>
    <sheet name="HLOOKUP_Practice" sheetId="4" r:id="rId4"/>
    <sheet name="MATCH_Practice" sheetId="5" r:id="rId5"/>
    <sheet name="INDEX_Practi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<sst xmlns="http://schemas.openxmlformats.org/spreadsheetml/2006/main" count="48" uniqueCount="32">
  <si>
    <t>Emp_ID</t>
  </si>
  <si>
    <t>Name</t>
  </si>
  <si>
    <t>Department</t>
  </si>
  <si>
    <t>Salary</t>
  </si>
  <si>
    <t>Location</t>
  </si>
  <si>
    <t>Ram</t>
  </si>
  <si>
    <t>HR</t>
  </si>
  <si>
    <t>Bangalore</t>
  </si>
  <si>
    <t>Sita</t>
  </si>
  <si>
    <t>IT</t>
  </si>
  <si>
    <t>Hyderabad</t>
  </si>
  <si>
    <t>Ravi</t>
  </si>
  <si>
    <t>Finance</t>
  </si>
  <si>
    <t>Chennai</t>
  </si>
  <si>
    <t>Priya</t>
  </si>
  <si>
    <t>Marketing</t>
  </si>
  <si>
    <t>Mumbai</t>
  </si>
  <si>
    <t>Arjun</t>
  </si>
  <si>
    <t>Pune</t>
  </si>
  <si>
    <t>Kavya</t>
  </si>
  <si>
    <t>Delhi</t>
  </si>
  <si>
    <t>Rohit</t>
  </si>
  <si>
    <t>Kolkata</t>
  </si>
  <si>
    <t>Meena</t>
  </si>
  <si>
    <t>Name (VLOOKUP)</t>
  </si>
  <si>
    <t>Department (INDEX+MATCH)</t>
  </si>
  <si>
    <t>Salary (XLOOKUP)</t>
  </si>
  <si>
    <t>Location (VLOOKUP)</t>
  </si>
  <si>
    <t>Position</t>
  </si>
  <si>
    <t>Row_Number</t>
  </si>
  <si>
    <t>Column_Number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</si>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</sst>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2" sqref="C2"/>
    </sheetView>
  </sheetViews>
  <sheetFormatPr defaultColWidth="8.88888888888889" defaultRowHeight="14.4" outlineLevelCol="4"/>
  <cols>
    <col min="1" max="5" width="12.1111111111111" style="4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>
        <v>101</v>
      </c>
      <c r="B2" s="6" t="s">
        <v>5</v>
      </c>
      <c r="C2" s="6" t="s">
        <v>6</v>
      </c>
      <c r="D2" s="6">
        <v>25000</v>
      </c>
      <c r="E2" s="6" t="s">
        <v>7</v>
      </c>
    </row>
    <row r="3" spans="1:5">
      <c r="A3" s="6">
        <v>102</v>
      </c>
      <c r="B3" s="6" t="s">
        <v>8</v>
      </c>
      <c r="C3" s="6" t="s">
        <v>9</v>
      </c>
      <c r="D3" s="6">
        <v>30000</v>
      </c>
      <c r="E3" s="6" t="s">
        <v>10</v>
      </c>
    </row>
    <row r="4" spans="1:5">
      <c r="A4" s="6">
        <v>103</v>
      </c>
      <c r="B4" s="6" t="s">
        <v>11</v>
      </c>
      <c r="C4" s="6" t="s">
        <v>12</v>
      </c>
      <c r="D4" s="6">
        <v>28000</v>
      </c>
      <c r="E4" s="6" t="s">
        <v>13</v>
      </c>
    </row>
    <row r="5" spans="1:5">
      <c r="A5" s="6">
        <v>104</v>
      </c>
      <c r="B5" s="6" t="s">
        <v>14</v>
      </c>
      <c r="C5" s="6" t="s">
        <v>15</v>
      </c>
      <c r="D5" s="6">
        <v>27000</v>
      </c>
      <c r="E5" s="6" t="s">
        <v>16</v>
      </c>
    </row>
    <row r="6" spans="1:5">
      <c r="A6" s="6">
        <v>105</v>
      </c>
      <c r="B6" s="6" t="s">
        <v>17</v>
      </c>
      <c r="C6" s="6" t="s">
        <v>9</v>
      </c>
      <c r="D6" s="6">
        <v>35000</v>
      </c>
      <c r="E6" s="6" t="s">
        <v>18</v>
      </c>
    </row>
    <row r="7" spans="1:5">
      <c r="A7" s="6">
        <v>106</v>
      </c>
      <c r="B7" s="6" t="s">
        <v>19</v>
      </c>
      <c r="C7" s="6" t="s">
        <v>6</v>
      </c>
      <c r="D7" s="6">
        <v>26000</v>
      </c>
      <c r="E7" s="6" t="s">
        <v>20</v>
      </c>
    </row>
    <row r="8" spans="1:5">
      <c r="A8" s="6">
        <v>107</v>
      </c>
      <c r="B8" s="6" t="s">
        <v>21</v>
      </c>
      <c r="C8" s="6" t="s">
        <v>12</v>
      </c>
      <c r="D8" s="6">
        <v>32000</v>
      </c>
      <c r="E8" s="6" t="s">
        <v>22</v>
      </c>
    </row>
    <row r="9" spans="1:5">
      <c r="A9" s="6">
        <v>108</v>
      </c>
      <c r="B9" s="6" t="s">
        <v>23</v>
      </c>
      <c r="C9" s="6" t="s">
        <v>15</v>
      </c>
      <c r="D9" s="6">
        <v>29000</v>
      </c>
      <c r="E9" s="6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:F3"/>
    </sheetView>
  </sheetViews>
  <sheetFormatPr defaultColWidth="8.88888888888889" defaultRowHeight="14.4" outlineLevelRow="2" outlineLevelCol="5"/>
  <sheetData>
    <row r="1" spans="1:6">
      <c r="A1" s="7"/>
      <c r="B1" s="7">
        <v>101</v>
      </c>
      <c r="C1" s="7">
        <v>102</v>
      </c>
      <c r="D1" s="7">
        <v>103</v>
      </c>
      <c r="E1" s="7">
        <v>104</v>
      </c>
      <c r="F1" s="7">
        <v>105</v>
      </c>
    </row>
    <row r="2" spans="1:6">
      <c r="A2" s="8" t="s">
        <v>1</v>
      </c>
      <c r="B2" s="8" t="s">
        <v>5</v>
      </c>
      <c r="C2" s="8" t="s">
        <v>8</v>
      </c>
      <c r="D2" s="8" t="s">
        <v>11</v>
      </c>
      <c r="E2" s="8" t="s">
        <v>14</v>
      </c>
      <c r="F2" s="8" t="s">
        <v>17</v>
      </c>
    </row>
    <row r="3" spans="1:6">
      <c r="A3" s="8" t="s">
        <v>3</v>
      </c>
      <c r="B3" s="8">
        <v>25000</v>
      </c>
      <c r="C3" s="8">
        <v>30000</v>
      </c>
      <c r="D3" s="8">
        <v>28000</v>
      </c>
      <c r="E3" s="8">
        <v>27000</v>
      </c>
      <c r="F3" s="8">
        <v>35000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2" sqref="E2:E5"/>
    </sheetView>
  </sheetViews>
  <sheetFormatPr defaultColWidth="8.88888888888889" defaultRowHeight="14.4" outlineLevelRow="4" outlineLevelCol="4"/>
  <cols>
    <col min="1" max="1" width="7.33333333333333" style="4" customWidth="1"/>
    <col min="2" max="2" width="10.4444444444444" style="4" customWidth="1"/>
    <col min="3" max="3" width="14.8888888888889" style="4" customWidth="1"/>
    <col min="4" max="4" width="10.3333333333333" style="4" customWidth="1"/>
    <col min="5" max="5" width="10.4444444444444" style="4" customWidth="1"/>
  </cols>
  <sheetData>
    <row r="1" ht="28.8" spans="1:5">
      <c r="A1" s="5" t="s">
        <v>0</v>
      </c>
      <c r="B1" s="5" t="s">
        <v>24</v>
      </c>
      <c r="C1" s="5" t="s">
        <v>25</v>
      </c>
      <c r="D1" s="5" t="s">
        <v>26</v>
      </c>
      <c r="E1" s="5" t="s">
        <v>27</v>
      </c>
    </row>
    <row r="2" spans="1:5">
      <c r="A2" s="6">
        <v>101</v>
      </c>
      <c r="B2" s="6" t="str">
        <f>VLOOKUP(A2,Employee_Data!A:E,2,FALSE)</f>
        <v>Ram</v>
      </c>
      <c r="C2" s="6" t="str" cm="1">
        <f t="array" ref="C2">INDEX(Employee_Data!C:C,MATCH(A2,Employee_Data!A:A,0))</f>
        <v>HR</v>
      </c>
      <c r="D2" s="6">
        <f>_xlfn.XLOOKUP(A2,Employee_Data!A:A,Employee_Data!D:D)</f>
        <v>25000</v>
      </c>
      <c r="E2" s="6" t="str">
        <f>VLOOKUP(A2,Employee_Data!A:E,5,FALSE)</f>
        <v>Bangalore</v>
      </c>
    </row>
    <row r="3" spans="1:5">
      <c r="A3" s="6">
        <v>103</v>
      </c>
      <c r="B3" s="6" t="str">
        <f>VLOOKUP(A3,Employee_Data!A:E,2,FALSE)</f>
        <v>Ravi</v>
      </c>
      <c r="C3" s="6" t="str" cm="1">
        <f t="array" ref="C3">INDEX(Employee_Data!C:C,MATCH(A3,Employee_Data!A:A,0))</f>
        <v>Finance</v>
      </c>
      <c r="D3" s="6">
        <f>_xlfn.XLOOKUP(A3,Employee_Data!A:A,Employee_Data!D:D)</f>
        <v>28000</v>
      </c>
      <c r="E3" s="6" t="str">
        <f>VLOOKUP(A3,Employee_Data!A:E,5,FALSE)</f>
        <v>Chennai</v>
      </c>
    </row>
    <row r="4" spans="1:5">
      <c r="A4" s="6">
        <v>105</v>
      </c>
      <c r="B4" s="6" t="str">
        <f>VLOOKUP(A4,Employee_Data!A:E,2,FALSE)</f>
        <v>Arjun</v>
      </c>
      <c r="C4" s="6" t="str" cm="1">
        <f t="array" ref="C4">INDEX(Employee_Data!C:C,MATCH(A4,Employee_Data!A:A,0))</f>
        <v>IT</v>
      </c>
      <c r="D4" s="6">
        <f>_xlfn.XLOOKUP(A4,Employee_Data!A:A,Employee_Data!D:D)</f>
        <v>35000</v>
      </c>
      <c r="E4" s="6" t="str">
        <f>VLOOKUP(A4,Employee_Data!A:E,5,FALSE)</f>
        <v>Pune</v>
      </c>
    </row>
    <row r="5" spans="1:5">
      <c r="A5" s="6">
        <v>108</v>
      </c>
      <c r="B5" s="6" t="str">
        <f>VLOOKUP(A5,Employee_Data!A:E,2,FALSE)</f>
        <v>Meena</v>
      </c>
      <c r="C5" s="6" t="str" cm="1">
        <f t="array" ref="C5">INDEX(Employee_Data!C:C,MATCH(A5,Employee_Data!A:A,0))</f>
        <v>Marketing</v>
      </c>
      <c r="D5" s="6">
        <f>_xlfn.XLOOKUP(A5,Employee_Data!A:A,Employee_Data!D:D)</f>
        <v>29000</v>
      </c>
      <c r="E5" s="6" t="str">
        <f>VLOOKUP(A5,Employee_Data!A:E,5,FALSE)</f>
        <v>Hyderabad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5" sqref="D5"/>
    </sheetView>
  </sheetViews>
  <sheetFormatPr defaultColWidth="8.88888888888889" defaultRowHeight="14.4" outlineLevelRow="3" outlineLevelCol="1"/>
  <sheetData>
    <row r="1" spans="1:2">
      <c r="A1" s="1" t="s">
        <v>0</v>
      </c>
      <c r="B1" s="1" t="s">
        <v>3</v>
      </c>
    </row>
    <row r="2" spans="1:2">
      <c r="A2" s="2">
        <v>102</v>
      </c>
      <c r="B2" s="2">
        <f>HLOOKUP(A2,Horizontal_Data!$A$1:$F$3,3,FALSE)</f>
        <v>30000</v>
      </c>
    </row>
    <row r="3" spans="1:2">
      <c r="A3" s="2">
        <v>104</v>
      </c>
      <c r="B3" s="2">
        <f>HLOOKUP(A3,Horizontal_Data!$A$1:$F$3,3,FALSE)</f>
        <v>27000</v>
      </c>
    </row>
    <row r="4" spans="1:2">
      <c r="A4" s="2">
        <v>105</v>
      </c>
      <c r="B4" s="2">
        <f>HLOOKUP(A4,Horizontal_Data!$A$1:$F$3,3,FALSE)</f>
        <v>35000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6" sqref="A6"/>
    </sheetView>
  </sheetViews>
  <sheetFormatPr defaultColWidth="8.88888888888889" defaultRowHeight="14.4" outlineLevelRow="3" outlineLevelCol="1"/>
  <sheetData>
    <row r="1" spans="1:2">
      <c r="A1" s="1" t="s">
        <v>0</v>
      </c>
      <c r="B1" s="1" t="s">
        <v>28</v>
      </c>
    </row>
    <row r="2" spans="1:2">
      <c r="A2" s="2">
        <v>101</v>
      </c>
      <c r="B2" s="2">
        <f>MATCH(A2,Employee_Data!A:A,0)</f>
        <v>2</v>
      </c>
    </row>
    <row r="3" spans="1:2">
      <c r="A3" s="2">
        <v>105</v>
      </c>
      <c r="B3" s="2">
        <f>MATCH(A3,Employee_Data!A:A,0)</f>
        <v>6</v>
      </c>
    </row>
    <row r="4" spans="1:2">
      <c r="A4" s="2">
        <v>108</v>
      </c>
      <c r="B4" s="2">
        <f>MATCH(A4,Employee_Data!A:A,0)</f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2" sqref="C2"/>
    </sheetView>
  </sheetViews>
  <sheetFormatPr defaultColWidth="8.88888888888889" defaultRowHeight="14.4" outlineLevelRow="4" outlineLevelCol="2"/>
  <cols>
    <col min="1" max="3" width="16.4444444444444" customWidth="1"/>
  </cols>
  <sheetData>
    <row r="1" spans="1:3">
      <c r="A1" s="1" t="s">
        <v>29</v>
      </c>
      <c r="B1" s="1" t="s">
        <v>30</v>
      </c>
      <c r="C1" s="1" t="s">
        <v>31</v>
      </c>
    </row>
    <row r="2" spans="1:3">
      <c r="A2" s="2">
        <v>2</v>
      </c>
      <c r="B2" s="2">
        <v>4</v>
      </c>
      <c r="C2" s="2" cm="1">
        <f t="array" ref="C2">INDEX(Employee_Data!A:E,A2,B2)</f>
        <v>25000</v>
      </c>
    </row>
    <row r="3" spans="1:3">
      <c r="A3" s="2">
        <v>5</v>
      </c>
      <c r="B3" s="2">
        <v>3</v>
      </c>
      <c r="C3" s="2" t="str" cm="1">
        <f t="array" ref="C3">INDEX(Employee_Data!A:E,A3,B3)</f>
        <v>Marketing</v>
      </c>
    </row>
    <row r="4" spans="1:3">
      <c r="A4" s="3">
        <v>1</v>
      </c>
      <c r="B4" s="3">
        <v>4</v>
      </c>
      <c r="C4" s="2" t="str" cm="1">
        <f t="array" ref="C4">INDEX(Employee_Data!A:E,A4,B4)</f>
        <v>Salary</v>
      </c>
    </row>
    <row r="5" spans="1:3">
      <c r="A5" s="3">
        <v>2</v>
      </c>
      <c r="B5" s="3">
        <v>1</v>
      </c>
      <c r="C5" s="2" cm="1">
        <f t="array" ref="C5">INDEX(Employee_Data!A:E,A5,B5)</f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Employee_Data</vt:lpstr>
      <vt:lpstr>Horizontal_Data</vt:lpstr>
      <vt:lpstr>Lookup_Practice</vt:lpstr>
      <vt:lpstr>HLOOKUP_Practice</vt:lpstr>
      <vt:lpstr>MATCH_Practice</vt:lpstr>
      <vt:lpstr>INDEX_Practice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2026-02-17T05:11:10Z</dcterms:created>
  <dcterms:modified xsi:type="dcterms:W3CDTF">2026-02-17T06:18:55Z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9E79B46B24CB4675871B22529A5995CA_11</vt:lpwstr>
  </property>
  <property fmtid="{D5CDD505-2E9C-101B-9397-08002B2CF9AE}" pid="3" name="KSOProductBuildVer">
    <vt:lpwstr>1033-12.2.0.23196</vt:lpwstr>
  </property>
</Properties>
</file>